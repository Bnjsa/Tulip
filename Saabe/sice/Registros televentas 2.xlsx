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5899008E-D4A5-4EFB-893D-A735D4762E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l" sheetId="1" r:id="rId1"/>
    <sheet name="UPs" sheetId="6" r:id="rId2"/>
    <sheet name="Estadistica " sheetId="3" r:id="rId3"/>
    <sheet name="Prospectos " sheetId="5" r:id="rId4"/>
    <sheet name="Hoja1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G20" i="3"/>
  <c r="D11" i="3"/>
  <c r="D10" i="3"/>
  <c r="D9" i="3"/>
  <c r="F9" i="3"/>
  <c r="G9" i="3"/>
  <c r="K9" i="3"/>
  <c r="J9" i="3"/>
  <c r="I9" i="3"/>
  <c r="H9" i="3"/>
  <c r="M51" i="1"/>
  <c r="M52" i="1"/>
  <c r="M53" i="1"/>
  <c r="M47" i="1"/>
  <c r="M48" i="1"/>
  <c r="M49" i="1"/>
  <c r="M50" i="1"/>
  <c r="M43" i="1"/>
  <c r="M44" i="1"/>
  <c r="M45" i="1"/>
  <c r="M9" i="3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E2" i="5"/>
  <c r="C20" i="3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2" i="4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M54" i="1"/>
  <c r="M46" i="1"/>
  <c r="M10" i="1"/>
  <c r="M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J2" i="3"/>
  <c r="F21" i="3" l="1"/>
  <c r="D12" i="3" s="1"/>
</calcChain>
</file>

<file path=xl/sharedStrings.xml><?xml version="1.0" encoding="utf-8"?>
<sst xmlns="http://schemas.openxmlformats.org/spreadsheetml/2006/main" count="1141" uniqueCount="603">
  <si>
    <t>id</t>
  </si>
  <si>
    <t>FECHA</t>
  </si>
  <si>
    <t>MEDIO</t>
  </si>
  <si>
    <t>CUENTA</t>
  </si>
  <si>
    <t>CASO N</t>
  </si>
  <si>
    <t>CLIENTE</t>
  </si>
  <si>
    <t>TELEFONO</t>
  </si>
  <si>
    <t>ORDEN</t>
  </si>
  <si>
    <t>PRODUCTO</t>
  </si>
  <si>
    <t>ESTATUS</t>
  </si>
  <si>
    <t>PRECIO</t>
  </si>
  <si>
    <t xml:space="preserve">DESGLOSE </t>
  </si>
  <si>
    <t>RSTV11Mn1</t>
  </si>
  <si>
    <t>Llamada</t>
  </si>
  <si>
    <t>21263814</t>
  </si>
  <si>
    <t>1197911726237</t>
  </si>
  <si>
    <t>JOSE LUIS GONZALEZ ANCIRA</t>
  </si>
  <si>
    <t>NA</t>
  </si>
  <si>
    <t>1-197911725730</t>
  </si>
  <si>
    <t xml:space="preserve">disney $219 </t>
  </si>
  <si>
    <t>ACTIVO</t>
  </si>
  <si>
    <t>UPSALE</t>
  </si>
  <si>
    <t>RSTV11Mn2</t>
  </si>
  <si>
    <t>1197915496492</t>
  </si>
  <si>
    <t>ROCIO ISABEL BONIFAZ MELENDEZ</t>
  </si>
  <si>
    <t>896013202935</t>
  </si>
  <si>
    <t>8675933670 / 8673190201</t>
  </si>
  <si>
    <t>1-197911727071</t>
  </si>
  <si>
    <t>IZZI movil comparte tus datos 12M PROMO 3M</t>
  </si>
  <si>
    <t>CAN</t>
  </si>
  <si>
    <t>RSTV11Mn3</t>
  </si>
  <si>
    <t>13733700</t>
  </si>
  <si>
    <t>1197923613816</t>
  </si>
  <si>
    <t>LUZ MARIA BAUTISTA CACERES</t>
  </si>
  <si>
    <t>1-197923612873</t>
  </si>
  <si>
    <t>IZZI MOVIL 5 12M</t>
  </si>
  <si>
    <t>RSTV11Mn4</t>
  </si>
  <si>
    <t>43344252</t>
  </si>
  <si>
    <t>1198047695213</t>
  </si>
  <si>
    <t>JUAN CARLOS QUIROZ TORRES</t>
  </si>
  <si>
    <t>QRTRJN89082715H300</t>
  </si>
  <si>
    <t>7299069234</t>
  </si>
  <si>
    <t>1-198047694745</t>
  </si>
  <si>
    <t xml:space="preserve">NETFLIX 4S </t>
  </si>
  <si>
    <t>RSTV11Mn5</t>
  </si>
  <si>
    <t>31447377</t>
  </si>
  <si>
    <t>1198048264387</t>
  </si>
  <si>
    <t>MARCOS DAVID PASTRANA AVILES</t>
  </si>
  <si>
    <t>PSAVMR80041109H200</t>
  </si>
  <si>
    <t>5624211643</t>
  </si>
  <si>
    <t>1-198047695232</t>
  </si>
  <si>
    <t>300</t>
  </si>
  <si>
    <t>RSTV11Mn6</t>
  </si>
  <si>
    <t xml:space="preserve">Calixta </t>
  </si>
  <si>
    <t>37958415</t>
  </si>
  <si>
    <t>1198190397773</t>
  </si>
  <si>
    <t>ITZEL MERARI GONZÁLEZ RODRÍGUEZ</t>
  </si>
  <si>
    <t>GNRDIT93112509M000</t>
  </si>
  <si>
    <t>5564519886</t>
  </si>
  <si>
    <t>1-198190397024</t>
  </si>
  <si>
    <t>RSTV11Mn7</t>
  </si>
  <si>
    <t>27059311</t>
  </si>
  <si>
    <t>1198206232679</t>
  </si>
  <si>
    <t>ITZEL DEL CARMEN CARDENAS REYES </t>
  </si>
  <si>
    <t>CRRYIT88111309M200</t>
  </si>
  <si>
    <t>4425855416</t>
  </si>
  <si>
    <t>1-198184801938</t>
  </si>
  <si>
    <t>RSTV11Mn8</t>
  </si>
  <si>
    <t>37183202</t>
  </si>
  <si>
    <t>1198286436283</t>
  </si>
  <si>
    <t>MARIANA INES CERVANTES VELAZQUEZ</t>
  </si>
  <si>
    <t>CRVLMR87012115M900</t>
  </si>
  <si>
    <t>5645565692</t>
  </si>
  <si>
    <t>1-198294587328</t>
  </si>
  <si>
    <t>RSTV11Mn9</t>
  </si>
  <si>
    <t>39820561</t>
  </si>
  <si>
    <t>1198286435967</t>
  </si>
  <si>
    <t>ANA MARIA RENTERIA ALVAREZ</t>
  </si>
  <si>
    <t>RNAVMR980814M600</t>
  </si>
  <si>
    <t>5511510247</t>
  </si>
  <si>
    <t>1-198286435449</t>
  </si>
  <si>
    <t>RSTV11Mn10</t>
  </si>
  <si>
    <t>42395388</t>
  </si>
  <si>
    <t>1198357319353</t>
  </si>
  <si>
    <t>CLAUDIA CUAUTLE TORRES</t>
  </si>
  <si>
    <t>CTTRCL72041821M700</t>
  </si>
  <si>
    <t>2226614662 2225030441</t>
  </si>
  <si>
    <t>1-198357318524</t>
  </si>
  <si>
    <t>PRE-ACT</t>
  </si>
  <si>
    <t>RSTV11Mn11</t>
  </si>
  <si>
    <t>42759289 </t>
  </si>
  <si>
    <t>1198461277913</t>
  </si>
  <si>
    <t>CARLOS GUIJARRO ROJAS</t>
  </si>
  <si>
    <t>GJRJCR82090809H000</t>
  </si>
  <si>
    <t>4421684966 </t>
  </si>
  <si>
    <t>1-198461277389</t>
  </si>
  <si>
    <t>RSTV11Mn12</t>
  </si>
  <si>
    <t>37288382</t>
  </si>
  <si>
    <t>ALVARO MARTINEZ TORRES</t>
  </si>
  <si>
    <t>7227868723</t>
  </si>
  <si>
    <t>RSTV11Mn13</t>
  </si>
  <si>
    <t>34708928 </t>
  </si>
  <si>
    <t>1198726087153</t>
  </si>
  <si>
    <t>CLARA AMPARAN ELISERIO</t>
  </si>
  <si>
    <t>AMELCL88072810M000</t>
  </si>
  <si>
    <t>8125132134</t>
  </si>
  <si>
    <t>1-198726086385</t>
  </si>
  <si>
    <t>RSTV11Mn14</t>
  </si>
  <si>
    <t>RSTV11Mn15</t>
  </si>
  <si>
    <t>35642246</t>
  </si>
  <si>
    <t>1198908812316</t>
  </si>
  <si>
    <t>MANLIO MANUEL BAUTISTA MERCHANT</t>
  </si>
  <si>
    <t>BTMRMN79092709H700</t>
  </si>
  <si>
    <t>1-198908811622</t>
  </si>
  <si>
    <t>RSTV11Mn16</t>
  </si>
  <si>
    <t>42982360</t>
  </si>
  <si>
    <t>1199015620251</t>
  </si>
  <si>
    <t>MARLA ROSARIO ALONSO MARTINEZ</t>
  </si>
  <si>
    <t>ALMRMR97100720M900</t>
  </si>
  <si>
    <t>9514539051</t>
  </si>
  <si>
    <t>1-199015619546</t>
  </si>
  <si>
    <t>RSTV11Mn17</t>
  </si>
  <si>
    <t>31105859</t>
  </si>
  <si>
    <t>1199030594441</t>
  </si>
  <si>
    <t>CARLOS PEREYRA QUINTERO</t>
  </si>
  <si>
    <t>PRQNCR86020719H700</t>
  </si>
  <si>
    <t>8118276980</t>
  </si>
  <si>
    <t>1-199030593745</t>
  </si>
  <si>
    <t>RSTV11Mn18</t>
  </si>
  <si>
    <t>RSTV11Mn19</t>
  </si>
  <si>
    <t>36757559</t>
  </si>
  <si>
    <t>1199045177655</t>
  </si>
  <si>
    <t>ANA LILIA MARTINEZ VAZQUEZ</t>
  </si>
  <si>
    <t>MRVZAN84050215M700</t>
  </si>
  <si>
    <t>1-199020380305</t>
  </si>
  <si>
    <t>RSTV11Mn20</t>
  </si>
  <si>
    <t>39544763</t>
  </si>
  <si>
    <t>1199045177639</t>
  </si>
  <si>
    <t xml:space="preserve">ISAI OROZCO PEÑA </t>
  </si>
  <si>
    <t>ORPEIS92032114H000</t>
  </si>
  <si>
    <t>3328323762</t>
  </si>
  <si>
    <t>1-199045177031</t>
  </si>
  <si>
    <t>RSTV11Mn21</t>
  </si>
  <si>
    <t>41366077</t>
  </si>
  <si>
    <t>1199101267462</t>
  </si>
  <si>
    <t>VANIA FABIOLA ALVAREZ AGUILAR</t>
  </si>
  <si>
    <t>ALAGVN90103015M000</t>
  </si>
  <si>
    <t>1-199092215288</t>
  </si>
  <si>
    <t>RSTV11Mn22</t>
  </si>
  <si>
    <t>1199115815894</t>
  </si>
  <si>
    <t>JUAN DAVID FERREIRA MENDEZ</t>
  </si>
  <si>
    <t>FRMNJN75082402H100</t>
  </si>
  <si>
    <t>1-199108582228</t>
  </si>
  <si>
    <t xml:space="preserve">Universal+ Paramount+ Golden PROMOCION DE 1 MES </t>
  </si>
  <si>
    <t>RSTV11Mn23</t>
  </si>
  <si>
    <t>1199115815858</t>
  </si>
  <si>
    <t>1-199115813667</t>
  </si>
  <si>
    <t>RSTV11Mn24</t>
  </si>
  <si>
    <t>RSTV11Mn25</t>
  </si>
  <si>
    <t>1-199115815280</t>
  </si>
  <si>
    <t>RSTV11Mn26</t>
  </si>
  <si>
    <t>43445700</t>
  </si>
  <si>
    <t>1199115816458</t>
  </si>
  <si>
    <t>ADOLFO ALEJANDRO SEGUNDO MELCHOR</t>
  </si>
  <si>
    <t>SGMLAD91121819H400</t>
  </si>
  <si>
    <t>1-199115815923</t>
  </si>
  <si>
    <t>RSTV11Mn27</t>
  </si>
  <si>
    <t>1199115139203</t>
  </si>
  <si>
    <t>RUBEN ORTIZ REQUENA</t>
  </si>
  <si>
    <t>ORRQRB65081528H900</t>
  </si>
  <si>
    <t>8332514448</t>
  </si>
  <si>
    <t>1-199115138530</t>
  </si>
  <si>
    <t>1199126065432</t>
  </si>
  <si>
    <t>CARLOS HERNANDEZ HERNANDEZ</t>
  </si>
  <si>
    <t>HRHRCR86071224H900</t>
  </si>
  <si>
    <t>3330068912</t>
  </si>
  <si>
    <t>1-199115816486</t>
  </si>
  <si>
    <t>38796180</t>
  </si>
  <si>
    <t>120</t>
  </si>
  <si>
    <t>RSTV11Mn28</t>
  </si>
  <si>
    <t>RSTV11Mn29</t>
  </si>
  <si>
    <t>RSTV11Mn30</t>
  </si>
  <si>
    <t>36560305</t>
  </si>
  <si>
    <t>1199168306097</t>
  </si>
  <si>
    <t>RELOCATION SOLUTION WORLDWIDE</t>
  </si>
  <si>
    <t>BNRZSF84090287M900</t>
  </si>
  <si>
    <t>6441370246</t>
  </si>
  <si>
    <t>1-199162970761</t>
  </si>
  <si>
    <t>IZZI MOVIL 8</t>
  </si>
  <si>
    <t>RSTV11Mn31</t>
  </si>
  <si>
    <t>180</t>
  </si>
  <si>
    <t>RSTV11Mn32</t>
  </si>
  <si>
    <t>39262845</t>
  </si>
  <si>
    <t>1199186568906</t>
  </si>
  <si>
    <t>ADRIANA MARIBEL LOPEZ CORONA</t>
  </si>
  <si>
    <t>LPCRAD95051518M200</t>
  </si>
  <si>
    <t>1-199176504220</t>
  </si>
  <si>
    <t>RSTV11Mn33</t>
  </si>
  <si>
    <t>42054272</t>
  </si>
  <si>
    <t>1199186570190</t>
  </si>
  <si>
    <t>LILIANA YANETTE VELEZ SANCHEZ </t>
  </si>
  <si>
    <t>VLSNLL77112919M001</t>
  </si>
  <si>
    <t>8181639458</t>
  </si>
  <si>
    <t>1-199186569559</t>
  </si>
  <si>
    <t>RSTV11Mn34</t>
  </si>
  <si>
    <t>llamada</t>
  </si>
  <si>
    <t>35062679</t>
  </si>
  <si>
    <t>1199323754136</t>
  </si>
  <si>
    <t>ADRIANA LETICIA HUERTA ALVARADO</t>
  </si>
  <si>
    <t>HRALAD76082709M500</t>
  </si>
  <si>
    <t>5567913181</t>
  </si>
  <si>
    <t>1-199335892885</t>
  </si>
  <si>
    <t>RSTV11Mn35</t>
  </si>
  <si>
    <t>RSTV11Mn36</t>
  </si>
  <si>
    <t>17581194</t>
  </si>
  <si>
    <t>1199404862191</t>
  </si>
  <si>
    <t>PABLO . GONZALEZ BAUTISTA</t>
  </si>
  <si>
    <t>GNBTPB50123115H700</t>
  </si>
  <si>
    <t>5532318571</t>
  </si>
  <si>
    <t>1-199354744393</t>
  </si>
  <si>
    <t>RSTV11Mn37</t>
  </si>
  <si>
    <t>34245050</t>
  </si>
  <si>
    <t>1199498376882</t>
  </si>
  <si>
    <t>ANA VALERIA LOPEZ PEREZ</t>
  </si>
  <si>
    <t>LPPRAN93012915M500</t>
  </si>
  <si>
    <t>5533327491</t>
  </si>
  <si>
    <t>1-199492628708</t>
  </si>
  <si>
    <t>IZZI MOVIL 8 12M</t>
  </si>
  <si>
    <t>150</t>
  </si>
  <si>
    <t>RSTV11Mn38</t>
  </si>
  <si>
    <t>RSTV11Mn39</t>
  </si>
  <si>
    <t>1199531177142</t>
  </si>
  <si>
    <t>NORIS ZURITA ACCENT</t>
  </si>
  <si>
    <t>5578940639</t>
  </si>
  <si>
    <t>1-199523679438</t>
  </si>
  <si>
    <t>RSTV11Mn40</t>
  </si>
  <si>
    <t>43616250</t>
  </si>
  <si>
    <t>1199540191446</t>
  </si>
  <si>
    <t>JUVENCIO CRUZ CASTAÑEDA</t>
  </si>
  <si>
    <t>CRCSJV73082821H600</t>
  </si>
  <si>
    <t>5539193430</t>
  </si>
  <si>
    <t>1-199577337742</t>
  </si>
  <si>
    <t>RSTV11Mn42</t>
  </si>
  <si>
    <t>19179379</t>
  </si>
  <si>
    <t>1199591122122</t>
  </si>
  <si>
    <t>JAVIER BARRERA</t>
  </si>
  <si>
    <t>XXBRHG73110609H800</t>
  </si>
  <si>
    <t>5627472735</t>
  </si>
  <si>
    <t>1-199587782596</t>
  </si>
  <si>
    <t>RSTV11Mn43</t>
  </si>
  <si>
    <t>1199598995512</t>
  </si>
  <si>
    <t>NORMA ALICIA AVENA VILLELA seguimiento movil</t>
  </si>
  <si>
    <t>AVVLNR69011825M700</t>
  </si>
  <si>
    <t>#6645044435</t>
  </si>
  <si>
    <t>1-199607285063</t>
  </si>
  <si>
    <t>RSTV11Mn44</t>
  </si>
  <si>
    <t>43097203</t>
  </si>
  <si>
    <t>1199659184972</t>
  </si>
  <si>
    <t>JUAN ANTONIO SALAZAR JASSO</t>
  </si>
  <si>
    <t>SLJSJN95061319H400</t>
  </si>
  <si>
    <t>1-199664108628</t>
  </si>
  <si>
    <t>RSTV11Mn45</t>
  </si>
  <si>
    <t>1199661442922</t>
  </si>
  <si>
    <t>NORMA ALEJANDRA GODOY GOMEZ</t>
  </si>
  <si>
    <t>GDGMNR77062409M200</t>
  </si>
  <si>
    <t>5539513645</t>
  </si>
  <si>
    <t>1-199667402948</t>
  </si>
  <si>
    <t>RSTV11Mn46</t>
  </si>
  <si>
    <t>1199667404476</t>
  </si>
  <si>
    <t>BERENICE FUENTES MONTAÑO</t>
  </si>
  <si>
    <t>FNMNBR01121217M200</t>
  </si>
  <si>
    <t>7351860957</t>
  </si>
  <si>
    <t>1-199661442975</t>
  </si>
  <si>
    <t>RSTV11Mn47</t>
  </si>
  <si>
    <t>1199688190325</t>
  </si>
  <si>
    <t>JORGE ALBERTO GAYTAN VAZQUEZ</t>
  </si>
  <si>
    <t>5617035051</t>
  </si>
  <si>
    <t>1-199688189469</t>
  </si>
  <si>
    <t>RSTV11Mn48</t>
  </si>
  <si>
    <t>37743747</t>
  </si>
  <si>
    <t>1199686862132</t>
  </si>
  <si>
    <t>ALEJANDRA SARAHI TAPIA ESPINOSA</t>
  </si>
  <si>
    <t>TPESAL93070219M600</t>
  </si>
  <si>
    <t>8129450591</t>
  </si>
  <si>
    <t>1-199688191372</t>
  </si>
  <si>
    <t>RSTV11Mn49</t>
  </si>
  <si>
    <t>RSTV11Mn50</t>
  </si>
  <si>
    <t>1199711356606</t>
  </si>
  <si>
    <t>OSWALDO MENDOZA RODRIGUEZ</t>
  </si>
  <si>
    <t>1-199705130606</t>
  </si>
  <si>
    <t>RSTV11Mn51</t>
  </si>
  <si>
    <t>1199714496603</t>
  </si>
  <si>
    <t>DELIA EVELIA RANGEL ESPINOSA</t>
  </si>
  <si>
    <t>1-199703870334</t>
  </si>
  <si>
    <t>RSTV11Mn52</t>
  </si>
  <si>
    <t>36410582</t>
  </si>
  <si>
    <t>1199783997392</t>
  </si>
  <si>
    <t>EMANUEL LOBATO RUIZ </t>
  </si>
  <si>
    <t>LBRZEM01100915H700</t>
  </si>
  <si>
    <t>1-199767113608</t>
  </si>
  <si>
    <t>RSTV11Mn53</t>
  </si>
  <si>
    <t>RSTV11Mn54</t>
  </si>
  <si>
    <t>RSTV11Mn55</t>
  </si>
  <si>
    <t>34092658</t>
  </si>
  <si>
    <t>1199813472723</t>
  </si>
  <si>
    <t>ADELINA GOMEZ BAUTISTA</t>
  </si>
  <si>
    <t>GMBTAD69010509M500</t>
  </si>
  <si>
    <t>5636054228</t>
  </si>
  <si>
    <t>1-199779027813</t>
  </si>
  <si>
    <t>RSTV11Mn56</t>
  </si>
  <si>
    <t xml:space="preserve">Universal+ Paramount+ Golden  PROMO DE 1 MES </t>
  </si>
  <si>
    <t>RSTV11Mn57</t>
  </si>
  <si>
    <t>35342082</t>
  </si>
  <si>
    <t>1199816199272</t>
  </si>
  <si>
    <t>FERNANDO JONATHAN GERONIMO BERCHELT</t>
  </si>
  <si>
    <t>GRBRFR85042631H600</t>
  </si>
  <si>
    <t>1-199845949004</t>
  </si>
  <si>
    <t>RSTV11Mn58</t>
  </si>
  <si>
    <t xml:space="preserve">Universal+ Paramount+ Golden PROMO DE 1 MES </t>
  </si>
  <si>
    <t>RSTV11Mn59</t>
  </si>
  <si>
    <t>25299321</t>
  </si>
  <si>
    <t>1199908149167</t>
  </si>
  <si>
    <t>JOSE LUIS PUENTE MEDINA</t>
  </si>
  <si>
    <t>8120409244</t>
  </si>
  <si>
    <t>1-199910633009</t>
  </si>
  <si>
    <t>RSTV11Mn60</t>
  </si>
  <si>
    <t>1199903613382</t>
  </si>
  <si>
    <t>DANIEL ALANIS SALAZAR</t>
  </si>
  <si>
    <t>/</t>
  </si>
  <si>
    <t>1-199908149200</t>
  </si>
  <si>
    <t>RSTV11Mn61</t>
  </si>
  <si>
    <t>37363061</t>
  </si>
  <si>
    <t>1199912903109</t>
  </si>
  <si>
    <t>ADRIANA NOHEMI ESPINOZA FUENTES</t>
  </si>
  <si>
    <t>ESFNAD84021119M300</t>
  </si>
  <si>
    <t>8116166512</t>
  </si>
  <si>
    <t>1-199912902189</t>
  </si>
  <si>
    <t>RSTV11Mn62</t>
  </si>
  <si>
    <t>37920953</t>
  </si>
  <si>
    <t>1199927380672</t>
  </si>
  <si>
    <t>MAGDA SAGRARIO HERNANDEZ ALMANZA</t>
  </si>
  <si>
    <t>1-199912903582</t>
  </si>
  <si>
    <t>RSTV11Mn63</t>
  </si>
  <si>
    <t>37242856</t>
  </si>
  <si>
    <t>1199917560382</t>
  </si>
  <si>
    <t>GUADALUPE ROBLEDO PEREZ</t>
  </si>
  <si>
    <t>RBPRGD63121219H600</t>
  </si>
  <si>
    <t>1-199927380695</t>
  </si>
  <si>
    <t>RSTV11Mn64</t>
  </si>
  <si>
    <t>34851497</t>
  </si>
  <si>
    <t>1199907935248</t>
  </si>
  <si>
    <t>ADRIAN PADILLA NAVA</t>
  </si>
  <si>
    <t>PDNVAD85120719H600</t>
  </si>
  <si>
    <t>1-199907934388</t>
  </si>
  <si>
    <t xml:space="preserve">Universal+ Golden PROMO DE 1 MES </t>
  </si>
  <si>
    <t>RSTV11Mn65</t>
  </si>
  <si>
    <t>19723385</t>
  </si>
  <si>
    <t>1199946746915</t>
  </si>
  <si>
    <t>JOSE LUIS GARCIA GALLEGO</t>
  </si>
  <si>
    <t>GRGLLS73111002H001</t>
  </si>
  <si>
    <t>6641233546</t>
  </si>
  <si>
    <t>1-199946745539</t>
  </si>
  <si>
    <t>RSTV11Mn66</t>
  </si>
  <si>
    <t>36581660</t>
  </si>
  <si>
    <t>1199955321412</t>
  </si>
  <si>
    <t>CHRISTIAN IVAN ATILANO SALCEDO</t>
  </si>
  <si>
    <t>ATSLCH80121409H600</t>
  </si>
  <si>
    <t>1-199946747554</t>
  </si>
  <si>
    <t>RSTV11Mn67</t>
  </si>
  <si>
    <t>38684931</t>
  </si>
  <si>
    <t>1200027654448</t>
  </si>
  <si>
    <t>ULISES SANTOS GALINDO</t>
  </si>
  <si>
    <t>SNGLUL86012709H200</t>
  </si>
  <si>
    <t>5519702234</t>
  </si>
  <si>
    <t>1-200027653825</t>
  </si>
  <si>
    <t>RSTV11Mn68</t>
  </si>
  <si>
    <t>24722819</t>
  </si>
  <si>
    <t>1200038550270</t>
  </si>
  <si>
    <t>LAURA RAMIREZ MARTINEZ</t>
  </si>
  <si>
    <t>RMMRLR86042509M000</t>
  </si>
  <si>
    <t>55630958388</t>
  </si>
  <si>
    <t>1-200038549809</t>
  </si>
  <si>
    <t xml:space="preserve">Golden PROMO DE 1 MES </t>
  </si>
  <si>
    <t>RSTV11Mn69</t>
  </si>
  <si>
    <t>26824098</t>
  </si>
  <si>
    <t>1200107316768</t>
  </si>
  <si>
    <t>ROSA CARRETERO SANTIAGO</t>
  </si>
  <si>
    <t>CRSNRS74083002M600</t>
  </si>
  <si>
    <t>5511395574</t>
  </si>
  <si>
    <t>1-200038551433</t>
  </si>
  <si>
    <t>RSTV11Mn70</t>
  </si>
  <si>
    <t>43645487</t>
  </si>
  <si>
    <t>1200040196362</t>
  </si>
  <si>
    <t>TERESITA FLORES EQUIZA</t>
  </si>
  <si>
    <t>FLEQTR51022809M700</t>
  </si>
  <si>
    <t>5628165905</t>
  </si>
  <si>
    <t>1-200040195325</t>
  </si>
  <si>
    <t>RSTV11Mn71</t>
  </si>
  <si>
    <t>RSTV11Mn72</t>
  </si>
  <si>
    <t>32994299</t>
  </si>
  <si>
    <t>1200142383264</t>
  </si>
  <si>
    <t>ELVA REGINA GONZALEZ DELGADO</t>
  </si>
  <si>
    <t>ANGNJR90091919H200</t>
  </si>
  <si>
    <t>1-200142381938</t>
  </si>
  <si>
    <t>RSTV11Mn73</t>
  </si>
  <si>
    <t>37912878</t>
  </si>
  <si>
    <t>1200142384457</t>
  </si>
  <si>
    <t>ERASMO MARTINEZ FERNANDEZ</t>
  </si>
  <si>
    <t>MRfRER81111116H400</t>
  </si>
  <si>
    <t>4424927116 </t>
  </si>
  <si>
    <t>1-200164481058</t>
  </si>
  <si>
    <t>RSTV11Mn74</t>
  </si>
  <si>
    <t>31552051</t>
  </si>
  <si>
    <t>1200153416446</t>
  </si>
  <si>
    <t>MARIO ENRIQUE ALVARADO BARAJAS</t>
  </si>
  <si>
    <t>ALBRMR94031802H700</t>
  </si>
  <si>
    <t>6861991183 </t>
  </si>
  <si>
    <t>1-200153415869</t>
  </si>
  <si>
    <t>RSTV11Mn75</t>
  </si>
  <si>
    <t>19086094</t>
  </si>
  <si>
    <t>1200224398029</t>
  </si>
  <si>
    <t>RAFAEL RODRIGUEZ PONCE</t>
  </si>
  <si>
    <t>-</t>
  </si>
  <si>
    <t>5510037471 </t>
  </si>
  <si>
    <t>1-200256851391</t>
  </si>
  <si>
    <t>RSTV11Mn76</t>
  </si>
  <si>
    <t>43708593</t>
  </si>
  <si>
    <t>1200256850787</t>
  </si>
  <si>
    <t>JESUS ALEJANDRO HERNANDEZ GARZA</t>
  </si>
  <si>
    <t>HRGRJS03051019H500</t>
  </si>
  <si>
    <t>8182557658</t>
  </si>
  <si>
    <t>1-200256850405</t>
  </si>
  <si>
    <t>RSTV11Mn77</t>
  </si>
  <si>
    <t>1200276198087</t>
  </si>
  <si>
    <t>ESPERANZA GARCIA MORA</t>
  </si>
  <si>
    <t>GRMRES00021214M800</t>
  </si>
  <si>
    <t>1-200276197561</t>
  </si>
  <si>
    <t xml:space="preserve">Paramount+ PROMO DE 1 MES </t>
  </si>
  <si>
    <t>RSTV11Mn78</t>
  </si>
  <si>
    <t>37569014</t>
  </si>
  <si>
    <t>1200357367748</t>
  </si>
  <si>
    <t>DEMETRIO RAMIREZ SANCHEZ</t>
  </si>
  <si>
    <t>RMSNDM75122215H600</t>
  </si>
  <si>
    <t>7227084192</t>
  </si>
  <si>
    <t>1-200357366127</t>
  </si>
  <si>
    <t>IZZI MOVIL 15</t>
  </si>
  <si>
    <t>250</t>
  </si>
  <si>
    <t>RSTV11Mn79</t>
  </si>
  <si>
    <t>42533249</t>
  </si>
  <si>
    <t>1200357367844</t>
  </si>
  <si>
    <t>MARIANO ANGEL HERNANDEZ</t>
  </si>
  <si>
    <t>ANHRMR05032207H900</t>
  </si>
  <si>
    <t>1-200357367297</t>
  </si>
  <si>
    <t>RSTV11Mn80</t>
  </si>
  <si>
    <t>1200441438609</t>
  </si>
  <si>
    <t>MARIA TERESA MARTINEZ MATA</t>
  </si>
  <si>
    <t>MRMTTR61020424M900</t>
  </si>
  <si>
    <t>5567330747</t>
  </si>
  <si>
    <t>1-200461921964</t>
  </si>
  <si>
    <t>RSTV11Mn81</t>
  </si>
  <si>
    <t>17853923</t>
  </si>
  <si>
    <t>1200461921916</t>
  </si>
  <si>
    <t>1-200441437973</t>
  </si>
  <si>
    <t>RSTV11Mn82</t>
  </si>
  <si>
    <t>1200461923062</t>
  </si>
  <si>
    <t>ANGEL EMILIANO CHAPARRO LOPEZ</t>
  </si>
  <si>
    <t>6862571286</t>
  </si>
  <si>
    <t>1-200441440033</t>
  </si>
  <si>
    <t>RSTV11Mn83</t>
  </si>
  <si>
    <t>1200480850258</t>
  </si>
  <si>
    <t>SERGIO LUPERCIO MENDOZA</t>
  </si>
  <si>
    <t>LPMNSR59081409H400</t>
  </si>
  <si>
    <t>5558216159 </t>
  </si>
  <si>
    <t>1-200461923566</t>
  </si>
  <si>
    <t>RSTV11Mn84</t>
  </si>
  <si>
    <t>RSTV11Mn85</t>
  </si>
  <si>
    <t>1200506805558</t>
  </si>
  <si>
    <t>ALBERTO AVALOS LEYVA</t>
  </si>
  <si>
    <t xml:space="preserve">11571303 cedula </t>
  </si>
  <si>
    <t>5587771097</t>
  </si>
  <si>
    <t>1-200506804756</t>
  </si>
  <si>
    <t>RSTV11Mn86</t>
  </si>
  <si>
    <t>SNALAB970808H700</t>
  </si>
  <si>
    <t>RSTV11Mn87</t>
  </si>
  <si>
    <t>RSTV11Mn88</t>
  </si>
  <si>
    <t>RSTV11Mn89</t>
  </si>
  <si>
    <t>RSTV11Mn90</t>
  </si>
  <si>
    <t>RSTV11Mn91</t>
  </si>
  <si>
    <t>RSTV11Mn92</t>
  </si>
  <si>
    <t>RSTV11Mn93</t>
  </si>
  <si>
    <t>RSTV11Mn94</t>
  </si>
  <si>
    <t>RSTV11Mn95</t>
  </si>
  <si>
    <t>RSTV11Mn96</t>
  </si>
  <si>
    <t>RSTV11Mn97</t>
  </si>
  <si>
    <t>3:00 pm cdmx</t>
  </si>
  <si>
    <t>9691080680</t>
  </si>
  <si>
    <t>5633422793</t>
  </si>
  <si>
    <t>9992700327</t>
  </si>
  <si>
    <t>progreso</t>
  </si>
  <si>
    <t>CANCELADO</t>
  </si>
  <si>
    <t>PROSPECTO</t>
  </si>
  <si>
    <t>SEGUIMIENTO</t>
  </si>
  <si>
    <t>CERRADO</t>
  </si>
  <si>
    <t>FINIQUITADO</t>
  </si>
  <si>
    <t>Sistema de Registros de Televentas - SIRT</t>
  </si>
  <si>
    <t>version 2.0</t>
  </si>
  <si>
    <t>MOVIL 5</t>
  </si>
  <si>
    <t>MOVIL 8 12M</t>
  </si>
  <si>
    <t xml:space="preserve">MOVIL 8 </t>
  </si>
  <si>
    <t>MOVIL 15</t>
  </si>
  <si>
    <t>MOVIL C 12M</t>
  </si>
  <si>
    <t>MOVIL C</t>
  </si>
  <si>
    <t>UP</t>
  </si>
  <si>
    <t>Cancelados</t>
  </si>
  <si>
    <t xml:space="preserve">Pre Activación </t>
  </si>
  <si>
    <t>Activos</t>
  </si>
  <si>
    <t>Tasa de activación</t>
  </si>
  <si>
    <t>ALCANCE</t>
  </si>
  <si>
    <t>CALI</t>
  </si>
  <si>
    <t>CALL</t>
  </si>
  <si>
    <t>HOY</t>
  </si>
  <si>
    <t>ventas</t>
  </si>
  <si>
    <t>Ventas diarias</t>
  </si>
  <si>
    <t>Pendiente validar</t>
  </si>
  <si>
    <t>CONTACTO</t>
  </si>
  <si>
    <t>DETALLE</t>
  </si>
  <si>
    <t>ULT CONTACTO</t>
  </si>
  <si>
    <t>5588048018</t>
  </si>
  <si>
    <t>netflix y 3 canales promo</t>
  </si>
  <si>
    <t xml:space="preserve">IZZI ,MOVIL 8 12M </t>
  </si>
  <si>
    <t>5591189211</t>
  </si>
  <si>
    <t>34736434</t>
  </si>
  <si>
    <t>izzi movil 5</t>
  </si>
  <si>
    <t>PERDIDO</t>
  </si>
  <si>
    <t>8119909756</t>
  </si>
  <si>
    <t>25329723</t>
  </si>
  <si>
    <t>RIESGO</t>
  </si>
  <si>
    <t>8121769060</t>
  </si>
  <si>
    <t>22051398</t>
  </si>
  <si>
    <t>REYNA ISABEL GARCIA GARCIA</t>
  </si>
  <si>
    <t>viernes 4:00 pm movil</t>
  </si>
  <si>
    <t>CONTACTADO</t>
  </si>
  <si>
    <t>8147723957</t>
  </si>
  <si>
    <t>3 líneas movil</t>
  </si>
  <si>
    <t xml:space="preserve">PENDIENTE </t>
  </si>
  <si>
    <t>5566684469</t>
  </si>
  <si>
    <t>32090021</t>
  </si>
  <si>
    <t>FERNANDO DURAN SALDAÑA</t>
  </si>
  <si>
    <t>ambas  12:00 tij</t>
  </si>
  <si>
    <t>5580493436</t>
  </si>
  <si>
    <t>38069382</t>
  </si>
  <si>
    <t>LISSET ERNESTINA MUÑOZ CORONA</t>
  </si>
  <si>
    <t>movil, netflix</t>
  </si>
  <si>
    <t>5531264339</t>
  </si>
  <si>
    <t>25311633</t>
  </si>
  <si>
    <t>ROMAN DANIEL CRESPO GARCIA</t>
  </si>
  <si>
    <t>outbound</t>
  </si>
  <si>
    <t>5549447175</t>
  </si>
  <si>
    <t>24935201</t>
  </si>
  <si>
    <t>ALFREDO BENAVIDES MEJIA</t>
  </si>
  <si>
    <t>2:00 horaTIJ movil</t>
  </si>
  <si>
    <t>5539482050</t>
  </si>
  <si>
    <t>27382053</t>
  </si>
  <si>
    <t>BRAYAN GUSTAVO CAMARENA CALZADA</t>
  </si>
  <si>
    <t>movil 1:00pm horaTIJ</t>
  </si>
  <si>
    <t>2722600189 </t>
  </si>
  <si>
    <t>LINEAS DE MOVIL RECUPERA</t>
  </si>
  <si>
    <t>5574140409 </t>
  </si>
  <si>
    <t>18995901</t>
  </si>
  <si>
    <t>SILVIA MARISSA SALAZAR CRUZ</t>
  </si>
  <si>
    <t>LINEA DE MOVIL 5 RECUPERA 9:30 tij</t>
  </si>
  <si>
    <t>5571764215 </t>
  </si>
  <si>
    <t>23940592</t>
  </si>
  <si>
    <t>FEDERICO PEREZ ALBORES</t>
  </si>
  <si>
    <t xml:space="preserve">LINEA DE MOVIL 5 RECUPERA </t>
  </si>
  <si>
    <t>9811379081 </t>
  </si>
  <si>
    <t>34890255</t>
  </si>
  <si>
    <t>ANA ROSA COLLI BASTO</t>
  </si>
  <si>
    <t>PROSPECTO 20/DIC</t>
  </si>
  <si>
    <t>43171233</t>
  </si>
  <si>
    <t>NORMA ALICIA AVENA VILLELA</t>
  </si>
  <si>
    <t>MOVIL</t>
  </si>
  <si>
    <t>36484245</t>
  </si>
  <si>
    <t>JOSE SANTOS ISAIAS SULUB FLORES</t>
  </si>
  <si>
    <t>1:50 Htij</t>
  </si>
  <si>
    <t>8120084881</t>
  </si>
  <si>
    <t>38038358</t>
  </si>
  <si>
    <t>ALFREDO RIVERA RAMON</t>
  </si>
  <si>
    <t>movil 2:00 Hmonterrey</t>
  </si>
  <si>
    <t>5565765570</t>
  </si>
  <si>
    <t>22389155</t>
  </si>
  <si>
    <t>JESSICA CERVANTES PERETE</t>
  </si>
  <si>
    <t>movil 12:40Htij</t>
  </si>
  <si>
    <t>3335985100 </t>
  </si>
  <si>
    <t>39845757</t>
  </si>
  <si>
    <t>MIGUEL ANGEL CHAVOYA TAMAYO</t>
  </si>
  <si>
    <t>TLAQUEPAQUE MOVIL COMPARTE 2:00 PM hTIJ</t>
  </si>
  <si>
    <t>Cuenta</t>
  </si>
  <si>
    <t>Telefono</t>
  </si>
  <si>
    <t>Marcación</t>
  </si>
  <si>
    <t xml:space="preserve">Resultado </t>
  </si>
  <si>
    <t> </t>
  </si>
  <si>
    <t xml:space="preserve">
80060793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</si>
</sst>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>
    <font>
      <sz val="11"/>
      <color theme="1"/>
      <name val="Aptos Narrow"/>
      <family val="2"/>
      <scheme val="minor"/>
    </font>
    <font>
      <sz val="11"/>
      <color theme="1"/>
      <name val="Courier New"/>
    </font>
    <font>
      <sz val="11"/>
      <color theme="0"/>
      <name val="Courier New"/>
    </font>
    <font>
      <sz val="10"/>
      <color theme="0"/>
      <name val="Courier New"/>
    </font>
    <font>
      <sz val="8"/>
      <color theme="1"/>
      <name val="Courier New"/>
    </font>
    <font>
      <sz val="8"/>
      <color theme="0"/>
      <name val="Courier New"/>
    </font>
    <font>
      <sz val="8"/>
      <color rgb="FFFFFF00"/>
      <name val="Courier New"/>
    </font>
    <font>
      <u/>
      <sz val="8"/>
      <color theme="0"/>
      <name val="Courier New"/>
    </font>
    <font>
      <i/>
      <sz val="8"/>
      <color theme="0"/>
      <name val="Courier New"/>
    </font>
    <font>
      <sz val="8"/>
      <color theme="7" tint="0.79998168889431442"/>
      <name val="Courier New"/>
    </font>
    <font>
      <sz val="8"/>
      <color rgb="FF00B0F0"/>
      <name val="Courier New"/>
    </font>
    <font>
      <sz val="8"/>
      <color rgb="FFFFC000"/>
      <name val="Courier New"/>
    </font>
    <font>
      <sz val="11"/>
      <color rgb="FFFFFF00"/>
      <name val="Courier New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1"/>
      <color theme="0"/>
      <name val="-Apple-System"/>
      <charset val="1"/>
    </font>
    <font>
      <b/>
      <i/>
      <sz val="8"/>
      <color theme="0"/>
      <name val="Courier New"/>
    </font>
    <font>
      <b/>
      <sz val="8"/>
      <color theme="0"/>
      <name val="Courier New"/>
    </font>
    <font>
      <u/>
      <sz val="8"/>
      <color theme="0"/>
      <name val="Courier New"/>
      <family val="3"/>
    </font>
    <font>
      <sz val="11"/>
      <color theme="0"/>
      <name val="Courier New"/>
      <family val="3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14" fontId="2" fillId="5" borderId="0" xfId="0" applyNumberFormat="1" applyFont="1" applyFill="1" applyAlignment="1">
      <alignment horizontal="left"/>
    </xf>
    <xf numFmtId="49" fontId="2" fillId="5" borderId="0" xfId="0" applyNumberFormat="1" applyFont="1" applyFill="1" applyAlignment="1">
      <alignment horizontal="left"/>
    </xf>
    <xf numFmtId="2" fontId="2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49" fontId="5" fillId="5" borderId="0" xfId="0" applyNumberFormat="1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6" fillId="8" borderId="0" xfId="0" applyFont="1" applyFill="1"/>
    <xf numFmtId="0" fontId="5" fillId="9" borderId="0" xfId="0" applyFont="1" applyFill="1"/>
    <xf numFmtId="0" fontId="4" fillId="7" borderId="0" xfId="0" applyFont="1" applyFill="1"/>
    <xf numFmtId="0" fontId="5" fillId="10" borderId="0" xfId="0" applyFont="1" applyFill="1"/>
    <xf numFmtId="14" fontId="5" fillId="11" borderId="0" xfId="0" applyNumberFormat="1" applyFont="1" applyFill="1" applyAlignment="1">
      <alignment horizontal="left"/>
    </xf>
    <xf numFmtId="14" fontId="5" fillId="7" borderId="0" xfId="0" applyNumberFormat="1" applyFont="1" applyFill="1" applyAlignment="1">
      <alignment horizontal="left"/>
    </xf>
    <xf numFmtId="49" fontId="5" fillId="7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14" fontId="7" fillId="11" borderId="0" xfId="0" applyNumberFormat="1" applyFont="1" applyFill="1" applyAlignment="1">
      <alignment horizontal="left"/>
    </xf>
    <xf numFmtId="49" fontId="5" fillId="5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5" fillId="11" borderId="0" xfId="0" applyNumberFormat="1" applyFont="1" applyFill="1" applyAlignment="1">
      <alignment horizontal="center"/>
    </xf>
    <xf numFmtId="49" fontId="5" fillId="7" borderId="0" xfId="0" applyNumberFormat="1" applyFont="1" applyFill="1" applyAlignment="1">
      <alignment horizontal="center"/>
    </xf>
    <xf numFmtId="0" fontId="5" fillId="13" borderId="0" xfId="0" applyFont="1" applyFill="1"/>
    <xf numFmtId="0" fontId="9" fillId="13" borderId="0" xfId="0" applyFont="1" applyFill="1" applyAlignment="1">
      <alignment horizontal="center"/>
    </xf>
    <xf numFmtId="9" fontId="5" fillId="13" borderId="0" xfId="0" applyNumberFormat="1" applyFont="1" applyFill="1"/>
    <xf numFmtId="0" fontId="5" fillId="12" borderId="0" xfId="0" applyFont="1" applyFill="1"/>
    <xf numFmtId="0" fontId="5" fillId="12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4" fontId="5" fillId="14" borderId="0" xfId="0" applyNumberFormat="1" applyFont="1" applyFill="1"/>
    <xf numFmtId="49" fontId="5" fillId="14" borderId="0" xfId="0" applyNumberFormat="1" applyFont="1" applyFill="1"/>
    <xf numFmtId="0" fontId="0" fillId="14" borderId="0" xfId="0" applyFill="1"/>
    <xf numFmtId="0" fontId="4" fillId="14" borderId="0" xfId="0" applyFont="1" applyFill="1"/>
    <xf numFmtId="0" fontId="5" fillId="14" borderId="0" xfId="0" applyFont="1" applyFill="1"/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2" fontId="2" fillId="6" borderId="0" xfId="0" applyNumberFormat="1" applyFont="1" applyFill="1" applyAlignment="1">
      <alignment horizontal="left"/>
    </xf>
    <xf numFmtId="0" fontId="2" fillId="6" borderId="0" xfId="0" applyFont="1" applyFill="1"/>
    <xf numFmtId="0" fontId="5" fillId="11" borderId="0" xfId="0" applyFont="1" applyFill="1"/>
    <xf numFmtId="49" fontId="5" fillId="11" borderId="0" xfId="0" applyNumberFormat="1" applyFont="1" applyFill="1"/>
    <xf numFmtId="1" fontId="5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1" fillId="11" borderId="0" xfId="0" applyFont="1" applyFill="1"/>
    <xf numFmtId="0" fontId="5" fillId="7" borderId="0" xfId="0" applyFont="1" applyFill="1"/>
    <xf numFmtId="49" fontId="5" fillId="7" borderId="0" xfId="0" applyNumberFormat="1" applyFont="1" applyFill="1"/>
    <xf numFmtId="0" fontId="5" fillId="3" borderId="0" xfId="0" applyFont="1" applyFill="1"/>
    <xf numFmtId="49" fontId="5" fillId="3" borderId="0" xfId="0" applyNumberFormat="1" applyFont="1" applyFill="1"/>
    <xf numFmtId="1" fontId="5" fillId="3" borderId="0" xfId="0" applyNumberFormat="1" applyFont="1" applyFill="1" applyAlignment="1">
      <alignment horizontal="center"/>
    </xf>
    <xf numFmtId="0" fontId="2" fillId="3" borderId="0" xfId="0" applyFont="1" applyFill="1"/>
    <xf numFmtId="0" fontId="1" fillId="3" borderId="0" xfId="0" applyFont="1" applyFill="1"/>
    <xf numFmtId="0" fontId="3" fillId="3" borderId="0" xfId="0" applyFont="1" applyFill="1"/>
    <xf numFmtId="1" fontId="5" fillId="7" borderId="0" xfId="0" applyNumberFormat="1" applyFont="1" applyFill="1" applyAlignment="1">
      <alignment horizontal="center"/>
    </xf>
    <xf numFmtId="0" fontId="2" fillId="7" borderId="0" xfId="0" applyFont="1" applyFill="1"/>
    <xf numFmtId="0" fontId="1" fillId="7" borderId="0" xfId="0" applyFont="1" applyFill="1"/>
    <xf numFmtId="0" fontId="5" fillId="5" borderId="0" xfId="0" applyFont="1" applyFill="1"/>
    <xf numFmtId="0" fontId="2" fillId="5" borderId="0" xfId="0" applyFont="1" applyFill="1"/>
    <xf numFmtId="0" fontId="1" fillId="0" borderId="0" xfId="0" applyFont="1"/>
    <xf numFmtId="0" fontId="4" fillId="0" borderId="0" xfId="0" applyFont="1"/>
    <xf numFmtId="0" fontId="5" fillId="4" borderId="0" xfId="0" applyFont="1" applyFill="1"/>
    <xf numFmtId="0" fontId="1" fillId="5" borderId="0" xfId="0" applyFont="1" applyFill="1"/>
    <xf numFmtId="0" fontId="5" fillId="2" borderId="0" xfId="0" applyFont="1" applyFill="1"/>
    <xf numFmtId="0" fontId="3" fillId="5" borderId="0" xfId="0" applyFont="1" applyFill="1"/>
    <xf numFmtId="2" fontId="2" fillId="5" borderId="0" xfId="0" applyNumberFormat="1" applyFont="1" applyFill="1"/>
    <xf numFmtId="49" fontId="6" fillId="3" borderId="0" xfId="0" applyNumberFormat="1" applyFont="1" applyFill="1" applyAlignment="1">
      <alignment horizontal="left"/>
    </xf>
    <xf numFmtId="49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2" fillId="3" borderId="0" xfId="0" applyFont="1" applyFill="1"/>
    <xf numFmtId="0" fontId="5" fillId="8" borderId="0" xfId="0" applyFont="1" applyFill="1"/>
    <xf numFmtId="14" fontId="5" fillId="8" borderId="0" xfId="0" applyNumberFormat="1" applyFont="1" applyFill="1" applyAlignment="1">
      <alignment horizontal="left"/>
    </xf>
    <xf numFmtId="49" fontId="5" fillId="8" borderId="0" xfId="0" applyNumberFormat="1" applyFont="1" applyFill="1" applyAlignment="1">
      <alignment horizontal="left"/>
    </xf>
    <xf numFmtId="49" fontId="5" fillId="8" borderId="0" xfId="0" applyNumberFormat="1" applyFont="1" applyFill="1" applyAlignment="1">
      <alignment horizontal="center"/>
    </xf>
    <xf numFmtId="0" fontId="2" fillId="8" borderId="0" xfId="0" applyFont="1" applyFill="1"/>
    <xf numFmtId="0" fontId="1" fillId="8" borderId="0" xfId="0" applyFont="1" applyFill="1"/>
    <xf numFmtId="0" fontId="5" fillId="8" borderId="0" xfId="0" applyFont="1" applyFill="1" applyAlignment="1">
      <alignment horizontal="center"/>
    </xf>
    <xf numFmtId="1" fontId="5" fillId="8" borderId="0" xfId="0" applyNumberFormat="1" applyFont="1" applyFill="1" applyAlignment="1">
      <alignment horizontal="center"/>
    </xf>
    <xf numFmtId="0" fontId="5" fillId="15" borderId="0" xfId="0" applyFont="1" applyFill="1"/>
    <xf numFmtId="14" fontId="5" fillId="15" borderId="0" xfId="0" applyNumberFormat="1" applyFont="1" applyFill="1" applyAlignment="1">
      <alignment horizontal="left"/>
    </xf>
    <xf numFmtId="49" fontId="5" fillId="15" borderId="0" xfId="0" applyNumberFormat="1" applyFont="1" applyFill="1" applyAlignment="1">
      <alignment horizontal="left"/>
    </xf>
    <xf numFmtId="49" fontId="5" fillId="15" borderId="0" xfId="0" applyNumberFormat="1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1" fontId="5" fillId="15" borderId="0" xfId="0" applyNumberFormat="1" applyFont="1" applyFill="1" applyAlignment="1">
      <alignment horizontal="center"/>
    </xf>
    <xf numFmtId="0" fontId="2" fillId="15" borderId="0" xfId="0" applyFont="1" applyFill="1"/>
    <xf numFmtId="0" fontId="1" fillId="15" borderId="0" xfId="0" applyFont="1" applyFill="1"/>
    <xf numFmtId="14" fontId="5" fillId="16" borderId="0" xfId="0" applyNumberFormat="1" applyFont="1" applyFill="1" applyAlignment="1">
      <alignment horizontal="left"/>
    </xf>
    <xf numFmtId="0" fontId="2" fillId="0" borderId="0" xfId="0" applyFont="1"/>
    <xf numFmtId="49" fontId="5" fillId="11" borderId="0" xfId="0" applyNumberFormat="1" applyFont="1" applyFill="1" applyAlignment="1">
      <alignment horizontal="left"/>
    </xf>
    <xf numFmtId="0" fontId="5" fillId="11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14" fontId="5" fillId="17" borderId="0" xfId="0" applyNumberFormat="1" applyFont="1" applyFill="1"/>
    <xf numFmtId="0" fontId="13" fillId="14" borderId="0" xfId="0" applyFont="1" applyFill="1" applyAlignment="1">
      <alignment horizontal="center"/>
    </xf>
    <xf numFmtId="0" fontId="13" fillId="14" borderId="0" xfId="0" applyFont="1" applyFill="1"/>
    <xf numFmtId="0" fontId="14" fillId="14" borderId="0" xfId="0" applyFont="1" applyFill="1"/>
    <xf numFmtId="0" fontId="14" fillId="14" borderId="0" xfId="0" applyFont="1" applyFill="1" applyAlignment="1">
      <alignment horizontal="center"/>
    </xf>
    <xf numFmtId="0" fontId="14" fillId="14" borderId="0" xfId="0" applyFont="1" applyFill="1" applyAlignment="1">
      <alignment horizontal="center" wrapText="1"/>
    </xf>
    <xf numFmtId="0" fontId="15" fillId="14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14" fontId="2" fillId="11" borderId="0" xfId="0" applyNumberFormat="1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49" fontId="5" fillId="14" borderId="0" xfId="0" applyNumberFormat="1" applyFont="1" applyFill="1" applyAlignment="1">
      <alignment horizontal="left"/>
    </xf>
    <xf numFmtId="0" fontId="18" fillId="13" borderId="0" xfId="0" applyFont="1" applyFill="1"/>
    <xf numFmtId="0" fontId="5" fillId="12" borderId="0" xfId="0" applyFont="1" applyFill="1" applyAlignment="1">
      <alignment horizontal="center"/>
    </xf>
    <xf numFmtId="164" fontId="8" fillId="13" borderId="0" xfId="0" applyNumberFormat="1" applyFont="1" applyFill="1" applyAlignment="1">
      <alignment horizontal="right"/>
    </xf>
    <xf numFmtId="0" fontId="8" fillId="13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164" fontId="17" fillId="13" borderId="0" xfId="0" applyNumberFormat="1" applyFont="1" applyFill="1" applyAlignment="1">
      <alignment horizontal="right"/>
    </xf>
    <xf numFmtId="0" fontId="17" fillId="13" borderId="0" xfId="0" applyFont="1" applyFill="1" applyAlignment="1">
      <alignment horizontal="center"/>
    </xf>
    <xf numFmtId="0" fontId="19" fillId="12" borderId="0" xfId="0" applyFont="1" applyFill="1" applyAlignment="1">
      <alignment horizontal="center"/>
    </xf>
    <xf numFmtId="49" fontId="20" fillId="5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04040"/>
      <color rgb="FFFF17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C0E4F5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('Estadistica '!$F$9:$K$9,'Estadistica '!$F$8:$K$8)</c:f>
              <c:strCache>
                <c:ptCount val="12"/>
                <c:pt idx="0">
                  <c:v>11</c:v>
                </c:pt>
                <c:pt idx="1">
                  <c:v>12</c:v>
                </c:pt>
                <c:pt idx="2">
                  <c:v>3</c:v>
                </c:pt>
                <c:pt idx="3">
                  <c:v>1</c:v>
                </c:pt>
                <c:pt idx="4">
                  <c:v>28</c:v>
                </c:pt>
                <c:pt idx="5">
                  <c:v>0</c:v>
                </c:pt>
                <c:pt idx="6">
                  <c:v>MOVIL 5</c:v>
                </c:pt>
                <c:pt idx="7">
                  <c:v>MOVIL 8 12M</c:v>
                </c:pt>
                <c:pt idx="8">
                  <c:v>MOVIL 8 </c:v>
                </c:pt>
                <c:pt idx="9">
                  <c:v>MOVIL 15</c:v>
                </c:pt>
                <c:pt idx="10">
                  <c:v>MOVIL C 12M</c:v>
                </c:pt>
                <c:pt idx="11">
                  <c:v>MOVIL C</c:v>
                </c:pt>
              </c:strCache>
            </c:strRef>
          </c:cat>
          <c:val>
            <c:numRef>
              <c:f>'Estadistica '!$F$9:$K$9</c:f>
              <c:numCache>
                <c:formatCode>General</c:formatCode>
                <c:ptCount val="6"/>
                <c:pt idx="0">
                  <c:v>11</c:v>
                </c:pt>
                <c:pt idx="1">
                  <c:v>12</c:v>
                </c:pt>
                <c:pt idx="2">
                  <c:v>3</c:v>
                </c:pt>
                <c:pt idx="3">
                  <c:v>1</c:v>
                </c:pt>
                <c:pt idx="4">
                  <c:v>28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C-4FBB-8F78-590BFDF3E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2"/>
        <c:overlap val="100"/>
        <c:axId val="908720135"/>
        <c:axId val="1304059912"/>
      </c:barChart>
      <c:catAx>
        <c:axId val="908720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CAEDFB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04059912"/>
        <c:crosses val="autoZero"/>
        <c:auto val="1"/>
        <c:lblAlgn val="ctr"/>
        <c:lblOffset val="100"/>
        <c:noMultiLvlLbl val="0"/>
      </c:catAx>
      <c:valAx>
        <c:axId val="13040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08720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790575</xdr:colOff>
      <xdr:row>13</xdr:row>
      <xdr:rowOff>9525</xdr:rowOff>
    </xdr:from>
    <xdr:to>
      <xdr:col>12</xdr:col>
      <xdr:colOff>676275</xdr:colOff>
      <xdr:row>26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43C6B3-5AEA-E69F-630F-400356438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0"/>
  <sheetViews>
    <sheetView tabSelected="1" zoomScale="55" zoomScaleNormal="55" workbookViewId="0">
      <pane ySplit="1" topLeftCell="A2" activePane="bottomLeft" state="frozen"/>
      <selection pane="bottomLeft" activeCell="F59" sqref="F59"/>
    </sheetView>
  </sheetViews>
  <sheetFormatPr baseColWidth="10" defaultColWidth="9.1640625" defaultRowHeight="18" customHeight="1"/>
  <cols>
    <col min="1" max="1" width="13.75" style="64" customWidth="1"/>
    <col min="2" max="2" width="15" style="63" customWidth="1"/>
    <col min="3" max="3" width="10.1640625" style="63" customWidth="1"/>
    <col min="4" max="4" width="11.4140625" style="95" customWidth="1"/>
    <col min="5" max="5" width="19.1640625" style="63" customWidth="1"/>
    <col min="6" max="6" width="37.75" style="63" customWidth="1"/>
    <col min="7" max="7" width="20.58203125" style="95" customWidth="1"/>
    <col min="8" max="8" width="21.1640625" style="27" customWidth="1"/>
    <col min="9" max="9" width="20.75" style="63" customWidth="1"/>
    <col min="10" max="10" width="44.1640625" style="63" customWidth="1"/>
    <col min="11" max="11" width="12.75" style="27" customWidth="1"/>
    <col min="12" max="12" width="9.1640625" style="70" customWidth="1"/>
    <col min="13" max="13" width="180.75" style="63" customWidth="1"/>
    <col min="14" max="14" width="14.75" style="63" customWidth="1"/>
    <col min="15" max="15" width="11.75" style="63" customWidth="1"/>
    <col min="16" max="31" width="11.75" style="64" customWidth="1"/>
    <col min="32" max="16384" width="9.1640625" style="64"/>
  </cols>
  <sheetData>
    <row r="1" spans="1:15" s="45" customFormat="1" ht="18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/>
      <c r="H1" s="43" t="s">
        <v>6</v>
      </c>
      <c r="I1" s="42" t="s">
        <v>7</v>
      </c>
      <c r="J1" s="42" t="s">
        <v>8</v>
      </c>
      <c r="K1" s="42" t="s">
        <v>9</v>
      </c>
      <c r="L1" s="44" t="s">
        <v>10</v>
      </c>
      <c r="M1" s="42" t="s">
        <v>11</v>
      </c>
    </row>
    <row r="2" spans="1:15" s="51" customFormat="1" ht="18" customHeight="1">
      <c r="A2" s="51" t="s">
        <v>22</v>
      </c>
      <c r="B2" s="13">
        <v>45612</v>
      </c>
      <c r="C2" s="51" t="s">
        <v>13</v>
      </c>
      <c r="D2" s="105">
        <v>34685205</v>
      </c>
      <c r="E2" s="52" t="s">
        <v>23</v>
      </c>
      <c r="F2" s="51" t="s">
        <v>24</v>
      </c>
      <c r="G2" s="14" t="s">
        <v>25</v>
      </c>
      <c r="H2" s="23" t="s">
        <v>26</v>
      </c>
      <c r="I2" s="51" t="s">
        <v>27</v>
      </c>
      <c r="J2" s="51" t="s">
        <v>28</v>
      </c>
      <c r="K2" s="23" t="s">
        <v>29</v>
      </c>
      <c r="L2" s="23">
        <v>300</v>
      </c>
      <c r="M2" s="13" t="str">
        <f t="shared" ref="M2:M37" si="0">CONCATENATE("CLIENTE ", F2," ",J2, "VENDEDOR BENJAMIN SALAZAR SUPERVISOR JOSE IGNACIO QUEVEDO CASTILLO ")</f>
        <v xml:space="preserve">CLIENTE ROCIO ISABEL BONIFAZ MELENDEZ IZZI movil comparte tus datos 12M PROMO 3MVENDEDOR BENJAMIN SALAZAR SUPERVISOR JOSE IGNACIO QUEVEDO CASTILLO </v>
      </c>
    </row>
    <row r="3" spans="1:15" s="57" customFormat="1" ht="18" customHeight="1">
      <c r="A3" s="53" t="s">
        <v>30</v>
      </c>
      <c r="B3" s="6">
        <v>45612</v>
      </c>
      <c r="C3" s="6" t="s">
        <v>13</v>
      </c>
      <c r="D3" s="7" t="s">
        <v>31</v>
      </c>
      <c r="E3" s="54" t="s">
        <v>32</v>
      </c>
      <c r="F3" s="54" t="s">
        <v>33</v>
      </c>
      <c r="G3" s="7" t="s">
        <v>17</v>
      </c>
      <c r="H3" s="22">
        <v>5513190756</v>
      </c>
      <c r="I3" s="54" t="s">
        <v>34</v>
      </c>
      <c r="J3" s="53" t="s">
        <v>35</v>
      </c>
      <c r="K3" s="16" t="s">
        <v>20</v>
      </c>
      <c r="L3" s="55">
        <v>120</v>
      </c>
      <c r="M3" s="6" t="str">
        <f t="shared" si="0"/>
        <v xml:space="preserve">CLIENTE LUZ MARIA BAUTISTA CACERES IZZI MOVIL 5 12MVENDEDOR BENJAMIN SALAZAR SUPERVISOR JOSE IGNACIO QUEVEDO CASTILLO </v>
      </c>
      <c r="N3" s="56"/>
      <c r="O3" s="56"/>
    </row>
    <row r="4" spans="1:15" s="57" customFormat="1" ht="18" customHeight="1">
      <c r="A4" s="53" t="s">
        <v>44</v>
      </c>
      <c r="B4" s="6">
        <v>45614</v>
      </c>
      <c r="C4" s="6" t="s">
        <v>13</v>
      </c>
      <c r="D4" s="7" t="s">
        <v>45</v>
      </c>
      <c r="E4" s="7" t="s">
        <v>46</v>
      </c>
      <c r="F4" s="6" t="s">
        <v>47</v>
      </c>
      <c r="G4" s="7" t="s">
        <v>48</v>
      </c>
      <c r="H4" s="22" t="s">
        <v>49</v>
      </c>
      <c r="I4" s="6" t="s">
        <v>50</v>
      </c>
      <c r="J4" s="6" t="s">
        <v>28</v>
      </c>
      <c r="K4" s="16" t="s">
        <v>20</v>
      </c>
      <c r="L4" s="55" t="s">
        <v>51</v>
      </c>
      <c r="M4" s="6" t="str">
        <f t="shared" si="0"/>
        <v xml:space="preserve">CLIENTE MARCOS DAVID PASTRANA AVILES IZZI movil comparte tus datos 12M PROMO 3MVENDEDOR BENJAMIN SALAZAR SUPERVISOR JOSE IGNACIO QUEVEDO CASTILLO </v>
      </c>
      <c r="N4" s="58"/>
      <c r="O4" s="56"/>
    </row>
    <row r="5" spans="1:15" s="57" customFormat="1" ht="18" customHeight="1">
      <c r="A5" s="53" t="s">
        <v>52</v>
      </c>
      <c r="B5" s="6">
        <v>45615</v>
      </c>
      <c r="C5" s="6" t="s">
        <v>53</v>
      </c>
      <c r="D5" s="7" t="s">
        <v>54</v>
      </c>
      <c r="E5" s="7" t="s">
        <v>55</v>
      </c>
      <c r="F5" s="6" t="s">
        <v>56</v>
      </c>
      <c r="G5" s="7" t="s">
        <v>57</v>
      </c>
      <c r="H5" s="22" t="s">
        <v>58</v>
      </c>
      <c r="I5" s="6" t="s">
        <v>59</v>
      </c>
      <c r="J5" s="6" t="s">
        <v>28</v>
      </c>
      <c r="K5" s="16" t="s">
        <v>20</v>
      </c>
      <c r="L5" s="55">
        <v>300</v>
      </c>
      <c r="M5" s="6" t="str">
        <f t="shared" si="0"/>
        <v xml:space="preserve">CLIENTE ITZEL MERARI GONZÁLEZ RODRÍGUEZ IZZI movil comparte tus datos 12M PROMO 3MVENDEDOR BENJAMIN SALAZAR SUPERVISOR JOSE IGNACIO QUEVEDO CASTILLO </v>
      </c>
      <c r="N5" s="58"/>
      <c r="O5" s="56"/>
    </row>
    <row r="6" spans="1:15" s="57" customFormat="1" ht="18" customHeight="1">
      <c r="A6" s="53" t="s">
        <v>60</v>
      </c>
      <c r="B6" s="6">
        <v>45615</v>
      </c>
      <c r="C6" s="7" t="s">
        <v>13</v>
      </c>
      <c r="D6" s="7" t="s">
        <v>61</v>
      </c>
      <c r="E6" s="7" t="s">
        <v>62</v>
      </c>
      <c r="F6" s="7" t="s">
        <v>63</v>
      </c>
      <c r="G6" s="7" t="s">
        <v>64</v>
      </c>
      <c r="H6" s="22" t="s">
        <v>65</v>
      </c>
      <c r="I6" s="7" t="s">
        <v>66</v>
      </c>
      <c r="J6" s="7" t="s">
        <v>28</v>
      </c>
      <c r="K6" s="16" t="s">
        <v>20</v>
      </c>
      <c r="L6" s="55" t="s">
        <v>51</v>
      </c>
      <c r="M6" s="6" t="str">
        <f t="shared" si="0"/>
        <v xml:space="preserve">CLIENTE ITZEL DEL CARMEN CARDENAS REYES  IZZI movil comparte tus datos 12M PROMO 3MVENDEDOR BENJAMIN SALAZAR SUPERVISOR JOSE IGNACIO QUEVEDO CASTILLO </v>
      </c>
      <c r="N6" s="56"/>
      <c r="O6" s="56"/>
    </row>
    <row r="7" spans="1:15" s="61" customFormat="1" ht="18" customHeight="1">
      <c r="A7" s="51" t="s">
        <v>67</v>
      </c>
      <c r="B7" s="13">
        <v>45616</v>
      </c>
      <c r="C7" s="14" t="s">
        <v>53</v>
      </c>
      <c r="D7" s="14" t="s">
        <v>68</v>
      </c>
      <c r="E7" s="14" t="s">
        <v>69</v>
      </c>
      <c r="F7" s="14" t="s">
        <v>70</v>
      </c>
      <c r="G7" s="14" t="s">
        <v>71</v>
      </c>
      <c r="H7" s="29" t="s">
        <v>72</v>
      </c>
      <c r="I7" s="14" t="s">
        <v>73</v>
      </c>
      <c r="J7" s="14" t="s">
        <v>28</v>
      </c>
      <c r="K7" s="23" t="s">
        <v>29</v>
      </c>
      <c r="L7" s="59">
        <v>300</v>
      </c>
      <c r="M7" s="13" t="str">
        <f t="shared" si="0"/>
        <v xml:space="preserve">CLIENTE MARIANA INES CERVANTES VELAZQUEZ IZZI movil comparte tus datos 12M PROMO 3MVENDEDOR BENJAMIN SALAZAR SUPERVISOR JOSE IGNACIO QUEVEDO CASTILLO </v>
      </c>
      <c r="N7" s="60"/>
      <c r="O7" s="60"/>
    </row>
    <row r="8" spans="1:15" s="57" customFormat="1" ht="18" customHeight="1">
      <c r="A8" s="53" t="s">
        <v>74</v>
      </c>
      <c r="B8" s="6">
        <v>45616</v>
      </c>
      <c r="C8" s="7" t="s">
        <v>53</v>
      </c>
      <c r="D8" s="7" t="s">
        <v>75</v>
      </c>
      <c r="E8" s="7" t="s">
        <v>76</v>
      </c>
      <c r="F8" s="7" t="s">
        <v>77</v>
      </c>
      <c r="G8" s="7" t="s">
        <v>78</v>
      </c>
      <c r="H8" s="22" t="s">
        <v>79</v>
      </c>
      <c r="I8" s="7" t="s">
        <v>80</v>
      </c>
      <c r="J8" s="7" t="s">
        <v>28</v>
      </c>
      <c r="K8" s="16" t="s">
        <v>20</v>
      </c>
      <c r="L8" s="55">
        <v>300</v>
      </c>
      <c r="M8" s="6" t="str">
        <f t="shared" si="0"/>
        <v xml:space="preserve">CLIENTE ANA MARIA RENTERIA ALVAREZ IZZI movil comparte tus datos 12M PROMO 3MVENDEDOR BENJAMIN SALAZAR SUPERVISOR JOSE IGNACIO QUEVEDO CASTILLO </v>
      </c>
      <c r="N8" s="56"/>
      <c r="O8" s="56"/>
    </row>
    <row r="9" spans="1:15" s="80" customFormat="1" ht="18" customHeight="1">
      <c r="A9" s="75" t="s">
        <v>81</v>
      </c>
      <c r="B9" s="76">
        <v>45617</v>
      </c>
      <c r="C9" s="77" t="s">
        <v>13</v>
      </c>
      <c r="D9" s="77" t="s">
        <v>82</v>
      </c>
      <c r="E9" s="77" t="s">
        <v>83</v>
      </c>
      <c r="F9" s="77" t="s">
        <v>84</v>
      </c>
      <c r="G9" s="77" t="s">
        <v>85</v>
      </c>
      <c r="H9" s="78" t="s">
        <v>86</v>
      </c>
      <c r="I9" s="77" t="s">
        <v>87</v>
      </c>
      <c r="J9" s="77" t="s">
        <v>28</v>
      </c>
      <c r="K9" s="81" t="s">
        <v>88</v>
      </c>
      <c r="L9" s="82" t="s">
        <v>51</v>
      </c>
      <c r="M9" s="76" t="str">
        <f t="shared" si="0"/>
        <v xml:space="preserve">CLIENTE CLAUDIA CUAUTLE TORRES IZZI movil comparte tus datos 12M PROMO 3MVENDEDOR BENJAMIN SALAZAR SUPERVISOR JOSE IGNACIO QUEVEDO CASTILLO </v>
      </c>
      <c r="N9" s="79"/>
      <c r="O9" s="79"/>
    </row>
    <row r="10" spans="1:15" s="90" customFormat="1" ht="18" customHeight="1">
      <c r="A10" s="83" t="s">
        <v>89</v>
      </c>
      <c r="B10" s="84">
        <v>45617</v>
      </c>
      <c r="C10" s="85" t="s">
        <v>53</v>
      </c>
      <c r="D10" s="85" t="s">
        <v>90</v>
      </c>
      <c r="E10" s="85" t="s">
        <v>91</v>
      </c>
      <c r="F10" s="85" t="s">
        <v>92</v>
      </c>
      <c r="G10" s="85" t="s">
        <v>93</v>
      </c>
      <c r="H10" s="86" t="s">
        <v>94</v>
      </c>
      <c r="I10" s="85" t="s">
        <v>95</v>
      </c>
      <c r="J10" s="85" t="s">
        <v>28</v>
      </c>
      <c r="K10" s="87" t="s">
        <v>88</v>
      </c>
      <c r="L10" s="88">
        <v>300</v>
      </c>
      <c r="M10" s="84" t="str">
        <f>CONCATENATE("CLIENTE ", F10," ",J10, "VENDEDOR BENJAMIN SALAZAR SUPERVISOR IGNACIO QUEVEDO CASTILLO ")</f>
        <v xml:space="preserve">CLIENTE CARLOS GUIJARRO ROJAS IZZI movil comparte tus datos 12M PROMO 3MVENDEDOR BENJAMIN SALAZAR SUPERVISOR IGNACIO QUEVEDO CASTILLO </v>
      </c>
      <c r="N10" s="89"/>
      <c r="O10" s="89"/>
    </row>
    <row r="11" spans="1:15" s="79" customFormat="1" ht="18" hidden="1" customHeight="1">
      <c r="A11" s="75" t="s">
        <v>96</v>
      </c>
      <c r="B11" s="76">
        <v>45617</v>
      </c>
      <c r="C11" s="77" t="s">
        <v>53</v>
      </c>
      <c r="D11" s="77" t="s">
        <v>97</v>
      </c>
      <c r="E11" s="77"/>
      <c r="F11" s="77" t="s">
        <v>98</v>
      </c>
      <c r="G11" s="77" t="s">
        <v>17</v>
      </c>
      <c r="H11" s="78" t="s">
        <v>99</v>
      </c>
      <c r="I11" s="77"/>
      <c r="J11" s="77" t="s">
        <v>28</v>
      </c>
      <c r="K11" s="81" t="s">
        <v>88</v>
      </c>
      <c r="L11" s="82">
        <v>150</v>
      </c>
      <c r="M11" s="76" t="str">
        <f t="shared" si="0"/>
        <v xml:space="preserve">CLIENTE ALVARO MARTINEZ TORRES IZZI movil comparte tus datos 12M PROMO 3MVENDEDOR BENJAMIN SALAZAR SUPERVISOR JOSE IGNACIO QUEVEDO CASTILLO </v>
      </c>
    </row>
    <row r="12" spans="1:15" s="80" customFormat="1" ht="18" customHeight="1">
      <c r="A12" s="75" t="s">
        <v>100</v>
      </c>
      <c r="B12" s="76">
        <v>45621</v>
      </c>
      <c r="C12" s="77" t="s">
        <v>53</v>
      </c>
      <c r="D12" s="77" t="s">
        <v>101</v>
      </c>
      <c r="E12" s="77" t="s">
        <v>102</v>
      </c>
      <c r="F12" s="77" t="s">
        <v>103</v>
      </c>
      <c r="G12" s="77" t="s">
        <v>104</v>
      </c>
      <c r="H12" s="78" t="s">
        <v>105</v>
      </c>
      <c r="I12" s="77" t="s">
        <v>106</v>
      </c>
      <c r="J12" s="77" t="s">
        <v>28</v>
      </c>
      <c r="K12" s="81" t="s">
        <v>88</v>
      </c>
      <c r="L12" s="82">
        <v>300</v>
      </c>
      <c r="M12" s="76" t="str">
        <f t="shared" si="0"/>
        <v xml:space="preserve">CLIENTE CLARA AMPARAN ELISERIO IZZI movil comparte tus datos 12M PROMO 3MVENDEDOR BENJAMIN SALAZAR SUPERVISOR JOSE IGNACIO QUEVEDO CASTILLO </v>
      </c>
      <c r="N12" s="79"/>
      <c r="O12" s="79"/>
    </row>
    <row r="13" spans="1:15" s="80" customFormat="1" ht="18" customHeight="1">
      <c r="A13" s="75" t="s">
        <v>107</v>
      </c>
      <c r="B13" s="76">
        <v>45621</v>
      </c>
      <c r="C13" s="77" t="s">
        <v>53</v>
      </c>
      <c r="D13" s="77" t="s">
        <v>101</v>
      </c>
      <c r="E13" s="77" t="s">
        <v>102</v>
      </c>
      <c r="F13" s="77" t="s">
        <v>103</v>
      </c>
      <c r="G13" s="77" t="s">
        <v>104</v>
      </c>
      <c r="H13" s="78">
        <v>8125132134</v>
      </c>
      <c r="I13" s="77" t="s">
        <v>106</v>
      </c>
      <c r="J13" s="77" t="s">
        <v>28</v>
      </c>
      <c r="K13" s="81" t="s">
        <v>88</v>
      </c>
      <c r="L13" s="82">
        <v>300</v>
      </c>
      <c r="M13" s="76" t="str">
        <f t="shared" si="0"/>
        <v xml:space="preserve">CLIENTE CLARA AMPARAN ELISERIO IZZI movil comparte tus datos 12M PROMO 3MVENDEDOR BENJAMIN SALAZAR SUPERVISOR JOSE IGNACIO QUEVEDO CASTILLO </v>
      </c>
      <c r="N13" s="79"/>
      <c r="O13" s="79"/>
    </row>
    <row r="14" spans="1:15" s="61" customFormat="1" ht="18" customHeight="1">
      <c r="A14" s="51" t="s">
        <v>108</v>
      </c>
      <c r="B14" s="13">
        <v>45623</v>
      </c>
      <c r="C14" s="14" t="s">
        <v>53</v>
      </c>
      <c r="D14" s="14" t="s">
        <v>109</v>
      </c>
      <c r="E14" s="14" t="s">
        <v>110</v>
      </c>
      <c r="F14" s="14" t="s">
        <v>111</v>
      </c>
      <c r="G14" s="14" t="s">
        <v>112</v>
      </c>
      <c r="H14" s="29">
        <v>5569305132</v>
      </c>
      <c r="I14" s="14" t="s">
        <v>113</v>
      </c>
      <c r="J14" s="14" t="s">
        <v>28</v>
      </c>
      <c r="K14" s="23" t="s">
        <v>29</v>
      </c>
      <c r="L14" s="59">
        <v>300</v>
      </c>
      <c r="M14" s="13" t="str">
        <f t="shared" si="0"/>
        <v xml:space="preserve">CLIENTE MANLIO MANUEL BAUTISTA MERCHANT IZZI movil comparte tus datos 12M PROMO 3MVENDEDOR BENJAMIN SALAZAR SUPERVISOR JOSE IGNACIO QUEVEDO CASTILLO </v>
      </c>
      <c r="N14" s="60"/>
      <c r="O14" s="60"/>
    </row>
    <row r="15" spans="1:15" s="90" customFormat="1" ht="18" customHeight="1">
      <c r="A15" s="83" t="s">
        <v>114</v>
      </c>
      <c r="B15" s="84">
        <v>45624</v>
      </c>
      <c r="C15" s="85" t="s">
        <v>53</v>
      </c>
      <c r="D15" s="85" t="s">
        <v>115</v>
      </c>
      <c r="E15" s="85" t="s">
        <v>116</v>
      </c>
      <c r="F15" s="85" t="s">
        <v>117</v>
      </c>
      <c r="G15" s="85" t="s">
        <v>118</v>
      </c>
      <c r="H15" s="86" t="s">
        <v>119</v>
      </c>
      <c r="I15" s="85" t="s">
        <v>120</v>
      </c>
      <c r="J15" s="85" t="s">
        <v>35</v>
      </c>
      <c r="K15" s="87" t="s">
        <v>88</v>
      </c>
      <c r="L15" s="88">
        <v>120</v>
      </c>
      <c r="M15" s="84" t="str">
        <f t="shared" si="0"/>
        <v xml:space="preserve">CLIENTE MARLA ROSARIO ALONSO MARTINEZ IZZI MOVIL 5 12MVENDEDOR BENJAMIN SALAZAR SUPERVISOR JOSE IGNACIO QUEVEDO CASTILLO </v>
      </c>
      <c r="N15" s="89"/>
      <c r="O15" s="89"/>
    </row>
    <row r="16" spans="1:15" s="61" customFormat="1" ht="18" customHeight="1">
      <c r="A16" s="51" t="s">
        <v>121</v>
      </c>
      <c r="B16" s="13">
        <v>45624</v>
      </c>
      <c r="C16" s="14" t="s">
        <v>13</v>
      </c>
      <c r="D16" s="14" t="s">
        <v>122</v>
      </c>
      <c r="E16" s="14" t="s">
        <v>123</v>
      </c>
      <c r="F16" s="14" t="s">
        <v>124</v>
      </c>
      <c r="G16" s="14" t="s">
        <v>125</v>
      </c>
      <c r="H16" s="29" t="s">
        <v>126</v>
      </c>
      <c r="I16" s="14" t="s">
        <v>127</v>
      </c>
      <c r="J16" s="14" t="s">
        <v>35</v>
      </c>
      <c r="K16" s="23" t="s">
        <v>29</v>
      </c>
      <c r="L16" s="59">
        <v>120</v>
      </c>
      <c r="M16" s="13" t="str">
        <f t="shared" si="0"/>
        <v xml:space="preserve">CLIENTE CARLOS PEREYRA QUINTERO IZZI MOVIL 5 12MVENDEDOR BENJAMIN SALAZAR SUPERVISOR JOSE IGNACIO QUEVEDO CASTILLO </v>
      </c>
      <c r="N16" s="60"/>
      <c r="O16" s="60"/>
    </row>
    <row r="17" spans="1:31" s="61" customFormat="1" ht="18" customHeight="1">
      <c r="A17" s="51" t="s">
        <v>128</v>
      </c>
      <c r="B17" s="13">
        <v>45624</v>
      </c>
      <c r="C17" s="14" t="s">
        <v>13</v>
      </c>
      <c r="D17" s="14" t="s">
        <v>122</v>
      </c>
      <c r="E17" s="14" t="s">
        <v>123</v>
      </c>
      <c r="F17" s="14" t="s">
        <v>124</v>
      </c>
      <c r="G17" s="14" t="s">
        <v>125</v>
      </c>
      <c r="H17" s="29" t="s">
        <v>126</v>
      </c>
      <c r="I17" s="14" t="s">
        <v>127</v>
      </c>
      <c r="J17" s="14" t="s">
        <v>35</v>
      </c>
      <c r="K17" s="23" t="s">
        <v>29</v>
      </c>
      <c r="L17" s="59">
        <v>120</v>
      </c>
      <c r="M17" s="13" t="str">
        <f t="shared" si="0"/>
        <v xml:space="preserve">CLIENTE CARLOS PEREYRA QUINTERO IZZI MOVIL 5 12MVENDEDOR BENJAMIN SALAZAR SUPERVISOR JOSE IGNACIO QUEVEDO CASTILLO </v>
      </c>
      <c r="N17" s="60"/>
      <c r="O17" s="60"/>
    </row>
    <row r="18" spans="1:31" ht="18" customHeight="1">
      <c r="A18" s="53" t="s">
        <v>129</v>
      </c>
      <c r="B18" s="6">
        <v>45624</v>
      </c>
      <c r="C18" s="53" t="s">
        <v>53</v>
      </c>
      <c r="D18" s="15" t="s">
        <v>130</v>
      </c>
      <c r="E18" s="54" t="s">
        <v>131</v>
      </c>
      <c r="F18" s="53" t="s">
        <v>132</v>
      </c>
      <c r="G18" s="15" t="s">
        <v>133</v>
      </c>
      <c r="H18" s="16">
        <v>5568898077</v>
      </c>
      <c r="I18" s="53" t="s">
        <v>134</v>
      </c>
      <c r="J18" s="53" t="s">
        <v>35</v>
      </c>
      <c r="K18" s="16" t="s">
        <v>20</v>
      </c>
      <c r="L18" s="16">
        <v>120</v>
      </c>
      <c r="M18" s="6" t="str">
        <f t="shared" si="0"/>
        <v xml:space="preserve">CLIENTE ANA LILIA MARTINEZ VAZQUEZ IZZI MOVIL 5 12MVENDEDOR BENJAMIN SALAZAR SUPERVISOR JOSE IGNACIO QUEVEDO CASTILLO </v>
      </c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</row>
    <row r="19" spans="1:31" ht="18" customHeight="1">
      <c r="A19" s="53" t="s">
        <v>135</v>
      </c>
      <c r="B19" s="6">
        <v>45624</v>
      </c>
      <c r="C19" s="53" t="s">
        <v>13</v>
      </c>
      <c r="D19" s="15" t="s">
        <v>136</v>
      </c>
      <c r="E19" s="54" t="s">
        <v>137</v>
      </c>
      <c r="F19" s="53" t="s">
        <v>138</v>
      </c>
      <c r="G19" s="15" t="s">
        <v>139</v>
      </c>
      <c r="H19" s="16" t="s">
        <v>140</v>
      </c>
      <c r="I19" s="53" t="s">
        <v>141</v>
      </c>
      <c r="J19" s="53" t="s">
        <v>28</v>
      </c>
      <c r="K19" s="16" t="s">
        <v>88</v>
      </c>
      <c r="L19" s="16">
        <v>300</v>
      </c>
      <c r="M19" s="6" t="str">
        <f t="shared" si="0"/>
        <v xml:space="preserve">CLIENTE ISAI OROZCO PEÑA  IZZI movil comparte tus datos 12M PROMO 3MVENDEDOR BENJAMIN SALAZAR SUPERVISOR JOSE IGNACIO QUEVEDO CASTILLO </v>
      </c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</row>
    <row r="20" spans="1:31" s="65" customFormat="1" ht="18" customHeight="1">
      <c r="A20" s="4" t="s">
        <v>142</v>
      </c>
      <c r="B20" s="4">
        <v>45625</v>
      </c>
      <c r="C20" s="5" t="s">
        <v>53</v>
      </c>
      <c r="D20" s="5" t="s">
        <v>143</v>
      </c>
      <c r="E20" s="5" t="s">
        <v>144</v>
      </c>
      <c r="F20" s="5" t="s">
        <v>145</v>
      </c>
      <c r="G20" s="5" t="s">
        <v>146</v>
      </c>
      <c r="H20" s="19">
        <v>7227753535</v>
      </c>
      <c r="I20" s="5" t="s">
        <v>147</v>
      </c>
      <c r="J20" s="5" t="s">
        <v>28</v>
      </c>
      <c r="K20" s="19" t="s">
        <v>88</v>
      </c>
      <c r="L20" s="19" t="s">
        <v>51</v>
      </c>
      <c r="M20" s="4" t="str">
        <f t="shared" si="0"/>
        <v xml:space="preserve">CLIENTE VANIA FABIOLA ALVAREZ AGUILAR IZZI movil comparte tus datos 12M PROMO 3MVENDEDOR BENJAMIN SALAZAR SUPERVISOR JOSE IGNACIO QUEVEDO CASTILLO 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spans="1:31" s="66" customFormat="1" ht="18" customHeight="1">
      <c r="A21" s="4" t="s">
        <v>157</v>
      </c>
      <c r="B21" s="4">
        <v>45625</v>
      </c>
      <c r="C21" s="5" t="s">
        <v>53</v>
      </c>
      <c r="D21" s="5" t="s">
        <v>143</v>
      </c>
      <c r="E21" s="5" t="s">
        <v>155</v>
      </c>
      <c r="F21" s="5" t="s">
        <v>145</v>
      </c>
      <c r="G21" s="5" t="s">
        <v>146</v>
      </c>
      <c r="H21" s="19">
        <v>7227753535</v>
      </c>
      <c r="I21" s="5" t="s">
        <v>156</v>
      </c>
      <c r="J21" s="5" t="s">
        <v>28</v>
      </c>
      <c r="K21" s="19" t="s">
        <v>88</v>
      </c>
      <c r="L21" s="19" t="s">
        <v>51</v>
      </c>
      <c r="M21" s="4" t="str">
        <f t="shared" si="0"/>
        <v xml:space="preserve">CLIENTE VANIA FABIOLA ALVAREZ AGUILAR IZZI movil comparte tus datos 12M PROMO 3MVENDEDOR BENJAMIN SALAZAR SUPERVISOR JOSE IGNACIO QUEVEDO CASTILLO 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s="5" customFormat="1" ht="18" customHeight="1">
      <c r="A22" s="4" t="s">
        <v>158</v>
      </c>
      <c r="B22" s="4">
        <v>45625</v>
      </c>
      <c r="C22" s="5" t="s">
        <v>53</v>
      </c>
      <c r="D22" s="5" t="s">
        <v>143</v>
      </c>
      <c r="E22" s="5" t="s">
        <v>155</v>
      </c>
      <c r="F22" s="5" t="s">
        <v>145</v>
      </c>
      <c r="G22" s="5" t="s">
        <v>146</v>
      </c>
      <c r="H22" s="19">
        <v>7227753535</v>
      </c>
      <c r="I22" s="5" t="s">
        <v>159</v>
      </c>
      <c r="J22" s="5" t="s">
        <v>28</v>
      </c>
      <c r="K22" s="19" t="s">
        <v>88</v>
      </c>
      <c r="L22" s="19">
        <v>300</v>
      </c>
      <c r="M22" s="4" t="str">
        <f t="shared" si="0"/>
        <v xml:space="preserve">CLIENTE VANIA FABIOLA ALVAREZ AGUILAR IZZI movil comparte tus datos 12M PROMO 3MVENDEDOR BENJAMIN SALAZAR SUPERVISOR JOSE IGNACIO QUEVEDO CASTILLO </v>
      </c>
    </row>
    <row r="23" spans="1:31" s="5" customFormat="1" ht="18" customHeight="1">
      <c r="A23" s="53" t="s">
        <v>160</v>
      </c>
      <c r="B23" s="6">
        <v>45625</v>
      </c>
      <c r="C23" s="53" t="s">
        <v>53</v>
      </c>
      <c r="D23" s="15" t="s">
        <v>161</v>
      </c>
      <c r="E23" s="53" t="s">
        <v>162</v>
      </c>
      <c r="F23" s="53" t="s">
        <v>163</v>
      </c>
      <c r="G23" s="15" t="s">
        <v>164</v>
      </c>
      <c r="H23" s="16">
        <v>8124217373</v>
      </c>
      <c r="I23" s="53" t="s">
        <v>165</v>
      </c>
      <c r="J23" s="53" t="s">
        <v>35</v>
      </c>
      <c r="K23" s="16" t="s">
        <v>20</v>
      </c>
      <c r="L23" s="16">
        <v>120</v>
      </c>
      <c r="M23" s="6" t="str">
        <f t="shared" si="0"/>
        <v xml:space="preserve">CLIENTE ADOLFO ALEJANDRO SEGUNDO MELCHOR IZZI MOVIL 5 12MVENDEDOR BENJAMIN SALAZAR SUPERVISOR JOSE IGNACIO QUEVEDO CASTILLO </v>
      </c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</row>
    <row r="24" spans="1:31" s="66" customFormat="1" ht="18" customHeight="1">
      <c r="A24" s="62" t="s">
        <v>160</v>
      </c>
      <c r="B24" s="4">
        <v>45625</v>
      </c>
      <c r="C24" s="62" t="s">
        <v>53</v>
      </c>
      <c r="D24" s="17">
        <v>38796180</v>
      </c>
      <c r="E24" s="62" t="s">
        <v>172</v>
      </c>
      <c r="F24" s="5" t="s">
        <v>173</v>
      </c>
      <c r="G24" s="5" t="s">
        <v>174</v>
      </c>
      <c r="H24" s="21" t="s">
        <v>175</v>
      </c>
      <c r="I24" s="62" t="s">
        <v>176</v>
      </c>
      <c r="J24" s="62" t="s">
        <v>35</v>
      </c>
      <c r="K24" s="21" t="s">
        <v>88</v>
      </c>
      <c r="L24" s="21">
        <v>120</v>
      </c>
      <c r="M24" s="4" t="str">
        <f t="shared" si="0"/>
        <v xml:space="preserve">CLIENTE CARLOS HERNANDEZ HERNANDEZ IZZI MOVIL 5 12MVENDEDOR BENJAMIN SALAZAR SUPERVISOR JOSE IGNACIO QUEVEDO CASTILLO </v>
      </c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</row>
    <row r="25" spans="1:31" ht="18" customHeight="1">
      <c r="A25" s="62" t="s">
        <v>166</v>
      </c>
      <c r="B25" s="4">
        <v>45625</v>
      </c>
      <c r="C25" s="5" t="s">
        <v>53</v>
      </c>
      <c r="D25" s="5" t="s">
        <v>177</v>
      </c>
      <c r="E25" s="5" t="s">
        <v>172</v>
      </c>
      <c r="F25" s="5" t="s">
        <v>173</v>
      </c>
      <c r="G25" s="5" t="s">
        <v>174</v>
      </c>
      <c r="H25" s="19" t="s">
        <v>175</v>
      </c>
      <c r="I25" s="5" t="s">
        <v>176</v>
      </c>
      <c r="J25" s="5" t="s">
        <v>35</v>
      </c>
      <c r="K25" s="19" t="s">
        <v>88</v>
      </c>
      <c r="L25" s="19" t="s">
        <v>178</v>
      </c>
      <c r="M25" s="4" t="str">
        <f t="shared" si="0"/>
        <v xml:space="preserve">CLIENTE CARLOS HERNANDEZ HERNANDEZ IZZI MOVIL 5 12MVENDEDOR BENJAMIN SALAZAR SUPERVISOR JOSE IGNACIO QUEVEDO CASTILLO </v>
      </c>
    </row>
    <row r="26" spans="1:31" ht="18" customHeight="1">
      <c r="A26" s="62" t="s">
        <v>179</v>
      </c>
      <c r="B26" s="4">
        <v>45625</v>
      </c>
      <c r="C26" s="5" t="s">
        <v>53</v>
      </c>
      <c r="D26" s="5" t="s">
        <v>177</v>
      </c>
      <c r="E26" s="5" t="s">
        <v>172</v>
      </c>
      <c r="F26" s="5" t="s">
        <v>173</v>
      </c>
      <c r="G26" s="5" t="s">
        <v>174</v>
      </c>
      <c r="H26" s="19" t="s">
        <v>175</v>
      </c>
      <c r="I26" s="5" t="s">
        <v>176</v>
      </c>
      <c r="J26" s="5" t="s">
        <v>35</v>
      </c>
      <c r="K26" s="19" t="s">
        <v>88</v>
      </c>
      <c r="L26" s="19" t="s">
        <v>178</v>
      </c>
      <c r="M26" s="4" t="str">
        <f t="shared" si="0"/>
        <v xml:space="preserve">CLIENTE CARLOS HERNANDEZ HERNANDEZ IZZI MOVIL 5 12MVENDEDOR BENJAMIN SALAZAR SUPERVISOR JOSE IGNACIO QUEVEDO CASTILLO </v>
      </c>
    </row>
    <row r="27" spans="1:31" s="53" customFormat="1" ht="18" customHeight="1">
      <c r="A27" s="46" t="s">
        <v>181</v>
      </c>
      <c r="B27" s="12">
        <v>45626</v>
      </c>
      <c r="C27" s="46" t="s">
        <v>53</v>
      </c>
      <c r="D27" s="94" t="s">
        <v>182</v>
      </c>
      <c r="E27" s="46" t="s">
        <v>183</v>
      </c>
      <c r="F27" s="46" t="s">
        <v>184</v>
      </c>
      <c r="G27" s="94" t="s">
        <v>185</v>
      </c>
      <c r="H27" s="20" t="s">
        <v>186</v>
      </c>
      <c r="I27" s="46" t="s">
        <v>187</v>
      </c>
      <c r="J27" s="46" t="s">
        <v>188</v>
      </c>
      <c r="K27" s="20" t="s">
        <v>20</v>
      </c>
      <c r="L27" s="20">
        <v>180</v>
      </c>
      <c r="M27" s="12" t="str">
        <f t="shared" si="0"/>
        <v xml:space="preserve">CLIENTE RELOCATION SOLUTION WORLDWIDE IZZI MOVIL 8VENDEDOR BENJAMIN SALAZAR SUPERVISOR JOSE IGNACIO QUEVEDO CASTILLO </v>
      </c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spans="1:31" ht="18" customHeight="1">
      <c r="A28" s="46" t="s">
        <v>189</v>
      </c>
      <c r="B28" s="12">
        <v>45626</v>
      </c>
      <c r="C28" s="46" t="s">
        <v>53</v>
      </c>
      <c r="D28" s="94" t="s">
        <v>182</v>
      </c>
      <c r="E28" s="46" t="s">
        <v>183</v>
      </c>
      <c r="F28" s="46" t="s">
        <v>184</v>
      </c>
      <c r="G28" s="94" t="s">
        <v>185</v>
      </c>
      <c r="H28" s="20" t="s">
        <v>186</v>
      </c>
      <c r="I28" s="46" t="s">
        <v>187</v>
      </c>
      <c r="J28" s="46" t="s">
        <v>188</v>
      </c>
      <c r="K28" s="20" t="s">
        <v>20</v>
      </c>
      <c r="L28" s="20" t="s">
        <v>190</v>
      </c>
      <c r="M28" s="12" t="str">
        <f t="shared" si="0"/>
        <v xml:space="preserve">CLIENTE RELOCATION SOLUTION WORLDWIDE IZZI MOVIL 8VENDEDOR BENJAMIN SALAZAR SUPERVISOR JOSE IGNACIO QUEVEDO CASTILLO </v>
      </c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spans="1:31" s="57" customFormat="1" ht="18" customHeight="1">
      <c r="A29" s="53" t="s">
        <v>191</v>
      </c>
      <c r="B29" s="6">
        <v>45626</v>
      </c>
      <c r="C29" s="7" t="s">
        <v>53</v>
      </c>
      <c r="D29" s="7" t="s">
        <v>192</v>
      </c>
      <c r="E29" s="7" t="s">
        <v>193</v>
      </c>
      <c r="F29" s="7" t="s">
        <v>194</v>
      </c>
      <c r="G29" s="7" t="s">
        <v>195</v>
      </c>
      <c r="H29" s="22">
        <v>3113162509</v>
      </c>
      <c r="I29" s="7" t="s">
        <v>196</v>
      </c>
      <c r="J29" s="7" t="s">
        <v>188</v>
      </c>
      <c r="K29" s="22" t="s">
        <v>20</v>
      </c>
      <c r="L29" s="22" t="s">
        <v>190</v>
      </c>
      <c r="M29" s="6" t="str">
        <f t="shared" si="0"/>
        <v xml:space="preserve">CLIENTE ADRIANA MARIBEL LOPEZ CORONA IZZI MOVIL 8VENDEDOR BENJAMIN SALAZAR SUPERVISOR JOSE IGNACIO QUEVEDO CASTILLO </v>
      </c>
      <c r="N29" s="56"/>
      <c r="O29" s="56"/>
    </row>
    <row r="30" spans="1:31" ht="18" customHeight="1">
      <c r="A30" s="53" t="s">
        <v>197</v>
      </c>
      <c r="B30" s="6">
        <v>45626</v>
      </c>
      <c r="C30" s="53" t="s">
        <v>13</v>
      </c>
      <c r="D30" s="15" t="s">
        <v>198</v>
      </c>
      <c r="E30" s="54" t="s">
        <v>199</v>
      </c>
      <c r="F30" s="53" t="s">
        <v>200</v>
      </c>
      <c r="G30" s="15" t="s">
        <v>201</v>
      </c>
      <c r="H30" s="16" t="s">
        <v>202</v>
      </c>
      <c r="I30" s="53" t="s">
        <v>203</v>
      </c>
      <c r="J30" s="53" t="s">
        <v>28</v>
      </c>
      <c r="K30" s="16" t="s">
        <v>20</v>
      </c>
      <c r="L30" s="16">
        <v>300</v>
      </c>
      <c r="M30" s="6" t="str">
        <f t="shared" si="0"/>
        <v xml:space="preserve">CLIENTE LILIANA YANETTE VELEZ SANCHEZ  IZZI movil comparte tus datos 12M PROMO 3MVENDEDOR BENJAMIN SALAZAR SUPERVISOR JOSE IGNACIO QUEVEDO CASTILLO </v>
      </c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</row>
    <row r="31" spans="1:31" ht="18" customHeight="1">
      <c r="A31" s="62" t="s">
        <v>204</v>
      </c>
      <c r="B31" s="4">
        <v>45628</v>
      </c>
      <c r="C31" s="5" t="s">
        <v>205</v>
      </c>
      <c r="D31" s="5" t="s">
        <v>206</v>
      </c>
      <c r="E31" s="5" t="s">
        <v>207</v>
      </c>
      <c r="F31" s="5" t="s">
        <v>208</v>
      </c>
      <c r="G31" s="5" t="s">
        <v>209</v>
      </c>
      <c r="H31" s="19" t="s">
        <v>210</v>
      </c>
      <c r="I31" s="5" t="s">
        <v>211</v>
      </c>
      <c r="J31" s="5" t="s">
        <v>28</v>
      </c>
      <c r="K31" s="19" t="s">
        <v>88</v>
      </c>
      <c r="L31" s="19">
        <v>300</v>
      </c>
      <c r="M31" s="4" t="str">
        <f t="shared" si="0"/>
        <v xml:space="preserve">CLIENTE ADRIANA LETICIA HUERTA ALVARADO IZZI movil comparte tus datos 12M PROMO 3MVENDEDOR BENJAMIN SALAZAR SUPERVISOR JOSE IGNACIO QUEVEDO CASTILLO </v>
      </c>
    </row>
    <row r="32" spans="1:31" ht="18" customHeight="1">
      <c r="A32" s="62" t="s">
        <v>212</v>
      </c>
      <c r="B32" s="4">
        <v>45628</v>
      </c>
      <c r="C32" s="5" t="s">
        <v>205</v>
      </c>
      <c r="D32" s="5" t="s">
        <v>206</v>
      </c>
      <c r="E32" s="5" t="s">
        <v>207</v>
      </c>
      <c r="F32" s="5" t="s">
        <v>208</v>
      </c>
      <c r="G32" s="5" t="s">
        <v>209</v>
      </c>
      <c r="H32" s="19" t="s">
        <v>210</v>
      </c>
      <c r="I32" s="5" t="s">
        <v>211</v>
      </c>
      <c r="J32" s="5" t="s">
        <v>28</v>
      </c>
      <c r="K32" s="19" t="s">
        <v>88</v>
      </c>
      <c r="L32" s="19">
        <v>300</v>
      </c>
      <c r="M32" s="4" t="str">
        <f t="shared" si="0"/>
        <v xml:space="preserve">CLIENTE ADRIANA LETICIA HUERTA ALVARADO IZZI movil comparte tus datos 12M PROMO 3MVENDEDOR BENJAMIN SALAZAR SUPERVISOR JOSE IGNACIO QUEVEDO CASTILLO </v>
      </c>
    </row>
    <row r="33" spans="1:15" s="80" customFormat="1" ht="18" customHeight="1">
      <c r="A33" s="75" t="s">
        <v>213</v>
      </c>
      <c r="B33" s="76">
        <v>45629</v>
      </c>
      <c r="C33" s="77" t="s">
        <v>205</v>
      </c>
      <c r="D33" s="77" t="s">
        <v>214</v>
      </c>
      <c r="E33" s="77" t="s">
        <v>215</v>
      </c>
      <c r="F33" s="77" t="s">
        <v>216</v>
      </c>
      <c r="G33" s="77" t="s">
        <v>217</v>
      </c>
      <c r="H33" s="78" t="s">
        <v>218</v>
      </c>
      <c r="I33" s="77" t="s">
        <v>219</v>
      </c>
      <c r="J33" s="77" t="s">
        <v>35</v>
      </c>
      <c r="K33" s="78" t="s">
        <v>88</v>
      </c>
      <c r="L33" s="78" t="s">
        <v>178</v>
      </c>
      <c r="M33" s="76" t="str">
        <f t="shared" si="0"/>
        <v xml:space="preserve">CLIENTE PABLO . GONZALEZ BAUTISTA IZZI MOVIL 5 12MVENDEDOR BENJAMIN SALAZAR SUPERVISOR JOSE IGNACIO QUEVEDO CASTILLO </v>
      </c>
      <c r="N33" s="79"/>
      <c r="O33" s="79"/>
    </row>
    <row r="34" spans="1:15" s="50" customFormat="1" ht="18" customHeight="1">
      <c r="A34" s="46" t="s">
        <v>220</v>
      </c>
      <c r="B34" s="12">
        <v>45630</v>
      </c>
      <c r="C34" s="93" t="s">
        <v>205</v>
      </c>
      <c r="D34" s="93" t="s">
        <v>221</v>
      </c>
      <c r="E34" s="93" t="s">
        <v>222</v>
      </c>
      <c r="F34" s="93" t="s">
        <v>223</v>
      </c>
      <c r="G34" s="93" t="s">
        <v>224</v>
      </c>
      <c r="H34" s="28" t="s">
        <v>225</v>
      </c>
      <c r="I34" s="93" t="s">
        <v>226</v>
      </c>
      <c r="J34" s="93" t="s">
        <v>227</v>
      </c>
      <c r="K34" s="28" t="s">
        <v>88</v>
      </c>
      <c r="L34" s="28" t="s">
        <v>228</v>
      </c>
      <c r="M34" s="12" t="str">
        <f t="shared" si="0"/>
        <v xml:space="preserve">CLIENTE ANA VALERIA LOPEZ PEREZ IZZI MOVIL 8 12MVENDEDOR BENJAMIN SALAZAR SUPERVISOR JOSE IGNACIO QUEVEDO CASTILLO </v>
      </c>
      <c r="N34" s="49"/>
      <c r="O34" s="49"/>
    </row>
    <row r="35" spans="1:15" s="50" customFormat="1" ht="18" customHeight="1">
      <c r="A35" s="46" t="s">
        <v>229</v>
      </c>
      <c r="B35" s="12">
        <v>45630</v>
      </c>
      <c r="C35" s="93" t="s">
        <v>205</v>
      </c>
      <c r="D35" s="93" t="s">
        <v>221</v>
      </c>
      <c r="E35" s="93" t="s">
        <v>222</v>
      </c>
      <c r="F35" s="93" t="s">
        <v>223</v>
      </c>
      <c r="G35" s="93" t="s">
        <v>224</v>
      </c>
      <c r="H35" s="28" t="s">
        <v>225</v>
      </c>
      <c r="I35" s="93" t="s">
        <v>226</v>
      </c>
      <c r="J35" s="93" t="s">
        <v>227</v>
      </c>
      <c r="K35" s="28" t="s">
        <v>88</v>
      </c>
      <c r="L35" s="28" t="s">
        <v>228</v>
      </c>
      <c r="M35" s="12" t="str">
        <f t="shared" si="0"/>
        <v xml:space="preserve">CLIENTE ANA VALERIA LOPEZ PEREZ IZZI MOVIL 8 12MVENDEDOR BENJAMIN SALAZAR SUPERVISOR JOSE IGNACIO QUEVEDO CASTILLO </v>
      </c>
      <c r="N35" s="49"/>
      <c r="O35" s="49"/>
    </row>
    <row r="36" spans="1:15" ht="18" customHeight="1">
      <c r="A36" s="62" t="s">
        <v>235</v>
      </c>
      <c r="B36" s="4">
        <v>45631</v>
      </c>
      <c r="C36" s="5" t="s">
        <v>205</v>
      </c>
      <c r="D36" s="5" t="s">
        <v>236</v>
      </c>
      <c r="E36" s="5" t="s">
        <v>237</v>
      </c>
      <c r="F36" s="5" t="s">
        <v>238</v>
      </c>
      <c r="G36" s="5" t="s">
        <v>239</v>
      </c>
      <c r="H36" s="19" t="s">
        <v>240</v>
      </c>
      <c r="I36" s="5" t="s">
        <v>241</v>
      </c>
      <c r="J36" s="5" t="s">
        <v>227</v>
      </c>
      <c r="K36" s="19" t="s">
        <v>88</v>
      </c>
      <c r="L36" s="19">
        <v>300</v>
      </c>
      <c r="M36" s="4" t="str">
        <f t="shared" si="0"/>
        <v xml:space="preserve">CLIENTE JUVENCIO CRUZ CASTAÑEDA IZZI MOVIL 8 12MVENDEDOR BENJAMIN SALAZAR SUPERVISOR JOSE IGNACIO QUEVEDO CASTILLO </v>
      </c>
    </row>
    <row r="37" spans="1:15" ht="18" customHeight="1">
      <c r="A37" s="62" t="s">
        <v>255</v>
      </c>
      <c r="B37" s="4">
        <v>45632</v>
      </c>
      <c r="C37" s="5" t="s">
        <v>205</v>
      </c>
      <c r="D37" s="5" t="s">
        <v>256</v>
      </c>
      <c r="E37" s="5" t="s">
        <v>257</v>
      </c>
      <c r="F37" s="5" t="s">
        <v>258</v>
      </c>
      <c r="G37" s="5" t="s">
        <v>259</v>
      </c>
      <c r="H37" s="19">
        <v>8110292026</v>
      </c>
      <c r="I37" s="5" t="s">
        <v>260</v>
      </c>
      <c r="J37" s="5" t="s">
        <v>227</v>
      </c>
      <c r="K37" s="19" t="s">
        <v>88</v>
      </c>
      <c r="L37" s="19" t="s">
        <v>228</v>
      </c>
      <c r="M37" s="4" t="str">
        <f t="shared" si="0"/>
        <v xml:space="preserve">CLIENTE JUAN ANTONIO SALAZAR JASSO IZZI MOVIL 8 12MVENDEDOR BENJAMIN SALAZAR SUPERVISOR JOSE IGNACIO QUEVEDO CASTILLO </v>
      </c>
    </row>
    <row r="38" spans="1:15" ht="19" customHeight="1">
      <c r="A38" s="62" t="s">
        <v>278</v>
      </c>
      <c r="B38" s="4">
        <v>45632</v>
      </c>
      <c r="C38" s="5" t="s">
        <v>53</v>
      </c>
      <c r="D38" s="5" t="s">
        <v>279</v>
      </c>
      <c r="E38" s="5" t="s">
        <v>280</v>
      </c>
      <c r="F38" s="5" t="s">
        <v>281</v>
      </c>
      <c r="G38" s="5" t="s">
        <v>282</v>
      </c>
      <c r="H38" s="19" t="s">
        <v>283</v>
      </c>
      <c r="I38" s="5" t="s">
        <v>284</v>
      </c>
      <c r="J38" s="5" t="s">
        <v>35</v>
      </c>
      <c r="K38" s="19" t="s">
        <v>88</v>
      </c>
      <c r="L38" s="19" t="s">
        <v>178</v>
      </c>
      <c r="M38" s="4" t="str">
        <f t="shared" ref="M38" si="1">CONCATENATE("CLIENTE ", F38," ",J38, "VENDEDOR BENJAMIN SALAZAR SUPERVISOR JOSE IGNACIO QUEVEDO CASTILLO ")</f>
        <v xml:space="preserve">CLIENTE ALEJANDRA SARAHI TAPIA ESPINOSA IZZI MOVIL 5 12MVENDEDOR BENJAMIN SALAZAR SUPERVISOR JOSE IGNACIO QUEVEDO CASTILLO </v>
      </c>
    </row>
    <row r="39" spans="1:15" ht="18" customHeight="1">
      <c r="A39" s="62" t="s">
        <v>294</v>
      </c>
      <c r="B39" s="4">
        <v>45633</v>
      </c>
      <c r="C39" s="5" t="s">
        <v>13</v>
      </c>
      <c r="D39" s="5" t="s">
        <v>295</v>
      </c>
      <c r="E39" s="5" t="s">
        <v>296</v>
      </c>
      <c r="F39" s="5" t="s">
        <v>297</v>
      </c>
      <c r="G39" s="5" t="s">
        <v>298</v>
      </c>
      <c r="H39" s="19">
        <v>5625868953</v>
      </c>
      <c r="I39" s="5" t="s">
        <v>299</v>
      </c>
      <c r="J39" s="5" t="s">
        <v>28</v>
      </c>
      <c r="K39" s="19" t="s">
        <v>88</v>
      </c>
      <c r="L39" s="19">
        <v>300</v>
      </c>
      <c r="M39" s="4" t="str">
        <f t="shared" ref="M39:M42" si="2">CONCATENATE("CLIENTE ", F39," ",J39, "VENDEDOR BENJAMIN SALAZAR SUPERVISOR JOSE IGNACIO QUEVEDO CASTILLO ")</f>
        <v xml:space="preserve">CLIENTE EMANUEL LOBATO RUIZ  IZZI movil comparte tus datos 12M PROMO 3MVENDEDOR BENJAMIN SALAZAR SUPERVISOR JOSE IGNACIO QUEVEDO CASTILLO </v>
      </c>
      <c r="N39" s="1"/>
    </row>
    <row r="40" spans="1:15" ht="18" customHeight="1">
      <c r="A40" s="62" t="s">
        <v>300</v>
      </c>
      <c r="B40" s="4">
        <v>45633</v>
      </c>
      <c r="C40" s="5" t="s">
        <v>13</v>
      </c>
      <c r="D40" s="5">
        <v>36410582</v>
      </c>
      <c r="E40" s="5" t="s">
        <v>296</v>
      </c>
      <c r="F40" s="5" t="s">
        <v>297</v>
      </c>
      <c r="G40" s="5" t="s">
        <v>298</v>
      </c>
      <c r="H40" s="19">
        <v>5625868953</v>
      </c>
      <c r="I40" s="5" t="s">
        <v>299</v>
      </c>
      <c r="J40" s="5" t="s">
        <v>28</v>
      </c>
      <c r="K40" s="19" t="s">
        <v>88</v>
      </c>
      <c r="L40" s="19" t="s">
        <v>51</v>
      </c>
      <c r="M40" s="4" t="str">
        <f t="shared" si="2"/>
        <v xml:space="preserve">CLIENTE EMANUEL LOBATO RUIZ  IZZI movil comparte tus datos 12M PROMO 3MVENDEDOR BENJAMIN SALAZAR SUPERVISOR JOSE IGNACIO QUEVEDO CASTILLO </v>
      </c>
      <c r="N40" s="1"/>
    </row>
    <row r="41" spans="1:15" ht="18" customHeight="1">
      <c r="A41" s="62" t="s">
        <v>302</v>
      </c>
      <c r="B41" s="4">
        <v>45634</v>
      </c>
      <c r="C41" s="5" t="s">
        <v>53</v>
      </c>
      <c r="D41" s="5" t="s">
        <v>303</v>
      </c>
      <c r="E41" s="5" t="s">
        <v>304</v>
      </c>
      <c r="F41" s="5" t="s">
        <v>305</v>
      </c>
      <c r="G41" s="5" t="s">
        <v>306</v>
      </c>
      <c r="H41" s="19" t="s">
        <v>307</v>
      </c>
      <c r="I41" s="5" t="s">
        <v>308</v>
      </c>
      <c r="J41" s="5" t="s">
        <v>28</v>
      </c>
      <c r="K41" s="19" t="s">
        <v>88</v>
      </c>
      <c r="L41" s="19" t="s">
        <v>51</v>
      </c>
      <c r="M41" s="4" t="str">
        <f t="shared" si="2"/>
        <v xml:space="preserve">CLIENTE ADELINA GOMEZ BAUTISTA IZZI movil comparte tus datos 12M PROMO 3MVENDEDOR BENJAMIN SALAZAR SUPERVISOR JOSE IGNACIO QUEVEDO CASTILLO </v>
      </c>
    </row>
    <row r="42" spans="1:15" ht="18" customHeight="1">
      <c r="A42" s="62" t="s">
        <v>311</v>
      </c>
      <c r="B42" s="4">
        <v>45634</v>
      </c>
      <c r="C42" s="5" t="s">
        <v>13</v>
      </c>
      <c r="D42" s="5" t="s">
        <v>312</v>
      </c>
      <c r="E42" s="5" t="s">
        <v>313</v>
      </c>
      <c r="F42" s="5" t="s">
        <v>314</v>
      </c>
      <c r="G42" s="5" t="s">
        <v>315</v>
      </c>
      <c r="H42" s="19">
        <v>9984766482</v>
      </c>
      <c r="I42" s="5" t="s">
        <v>316</v>
      </c>
      <c r="J42" s="5" t="s">
        <v>227</v>
      </c>
      <c r="K42" s="19" t="s">
        <v>88</v>
      </c>
      <c r="L42" s="19" t="s">
        <v>51</v>
      </c>
      <c r="M42" s="4" t="str">
        <f t="shared" si="2"/>
        <v xml:space="preserve">CLIENTE FERNANDO JONATHAN GERONIMO BERCHELT IZZI MOVIL 8 12MVENDEDOR BENJAMIN SALAZAR SUPERVISOR JOSE IGNACIO QUEVEDO CASTILLO </v>
      </c>
    </row>
    <row r="43" spans="1:15" ht="18" customHeight="1">
      <c r="A43" s="5" t="s">
        <v>330</v>
      </c>
      <c r="B43" s="4">
        <v>45635</v>
      </c>
      <c r="C43" s="5" t="s">
        <v>13</v>
      </c>
      <c r="D43" s="5" t="s">
        <v>331</v>
      </c>
      <c r="E43" s="5" t="s">
        <v>332</v>
      </c>
      <c r="F43" s="5" t="s">
        <v>333</v>
      </c>
      <c r="G43" s="5" t="s">
        <v>334</v>
      </c>
      <c r="H43" s="19" t="s">
        <v>335</v>
      </c>
      <c r="I43" s="5" t="s">
        <v>336</v>
      </c>
      <c r="J43" s="5" t="s">
        <v>28</v>
      </c>
      <c r="K43" s="19" t="s">
        <v>88</v>
      </c>
      <c r="L43" s="19" t="s">
        <v>51</v>
      </c>
      <c r="M43" s="5" t="str">
        <f t="shared" ref="M43:M45" si="3">CONCATENATE("CLIENTE ", F43," ",J43, " VENDEDOR BENJAMIN SALAZAR SUPERVISOR JOSE IGNACIO QUEVEDO CASTILLO ")</f>
        <v xml:space="preserve">CLIENTE ADRIANA NOHEMI ESPINOZA FUENTES IZZI movil comparte tus datos 12M PROMO 3M VENDEDOR BENJAMIN SALAZAR SUPERVISOR JOSE IGNACIO QUEVEDO CASTILLO </v>
      </c>
    </row>
    <row r="44" spans="1:15" ht="18" customHeight="1">
      <c r="A44" s="5" t="s">
        <v>362</v>
      </c>
      <c r="B44" s="4">
        <v>45635</v>
      </c>
      <c r="C44" s="5" t="s">
        <v>53</v>
      </c>
      <c r="D44" s="5" t="s">
        <v>363</v>
      </c>
      <c r="E44" s="5" t="s">
        <v>364</v>
      </c>
      <c r="F44" s="5" t="s">
        <v>365</v>
      </c>
      <c r="G44" s="5" t="s">
        <v>366</v>
      </c>
      <c r="H44" s="19">
        <v>5931176293</v>
      </c>
      <c r="I44" s="5" t="s">
        <v>367</v>
      </c>
      <c r="J44" s="5" t="s">
        <v>227</v>
      </c>
      <c r="K44" s="19" t="s">
        <v>88</v>
      </c>
      <c r="L44" s="19" t="s">
        <v>228</v>
      </c>
      <c r="M44" s="4" t="str">
        <f t="shared" si="3"/>
        <v xml:space="preserve">CLIENTE CHRISTIAN IVAN ATILANO SALCEDO IZZI MOVIL 8 12M VENDEDOR BENJAMIN SALAZAR SUPERVISOR JOSE IGNACIO QUEVEDO CASTILLO </v>
      </c>
    </row>
    <row r="45" spans="1:15" ht="18" customHeight="1">
      <c r="A45" s="5" t="s">
        <v>397</v>
      </c>
      <c r="B45" s="91">
        <v>45637</v>
      </c>
      <c r="C45" s="5" t="s">
        <v>13</v>
      </c>
      <c r="D45" s="5" t="s">
        <v>391</v>
      </c>
      <c r="E45" s="5" t="s">
        <v>392</v>
      </c>
      <c r="F45" s="5" t="s">
        <v>393</v>
      </c>
      <c r="G45" s="5" t="s">
        <v>394</v>
      </c>
      <c r="H45" s="19" t="s">
        <v>395</v>
      </c>
      <c r="I45" s="5" t="s">
        <v>396</v>
      </c>
      <c r="J45" s="5" t="s">
        <v>28</v>
      </c>
      <c r="K45" s="19" t="s">
        <v>88</v>
      </c>
      <c r="L45" s="19" t="s">
        <v>51</v>
      </c>
      <c r="M45" s="5" t="str">
        <f t="shared" si="3"/>
        <v xml:space="preserve">CLIENTE TERESITA FLORES EQUIZA IZZI movil comparte tus datos 12M PROMO 3M VENDEDOR BENJAMIN SALAZAR SUPERVISOR JOSE IGNACIO QUEVEDO CASTILLO </v>
      </c>
    </row>
    <row r="46" spans="1:15" ht="18" customHeight="1">
      <c r="A46" s="5" t="s">
        <v>398</v>
      </c>
      <c r="B46" s="91">
        <v>45637</v>
      </c>
      <c r="C46" s="5" t="s">
        <v>13</v>
      </c>
      <c r="D46" s="5" t="s">
        <v>399</v>
      </c>
      <c r="E46" s="5" t="s">
        <v>400</v>
      </c>
      <c r="F46" s="5" t="s">
        <v>401</v>
      </c>
      <c r="G46" s="5" t="s">
        <v>402</v>
      </c>
      <c r="H46" s="19">
        <v>8112990115</v>
      </c>
      <c r="I46" s="5" t="s">
        <v>403</v>
      </c>
      <c r="J46" s="5" t="s">
        <v>28</v>
      </c>
      <c r="K46" s="19" t="s">
        <v>88</v>
      </c>
      <c r="L46" s="19" t="s">
        <v>51</v>
      </c>
      <c r="M46" s="4" t="str">
        <f>CONCATENATE("CLIENTE ", F46," ",J46, " VENDEDOR BENJAMIN SALAZAR SUPERVISOR JOSE IGNACIO QUEVEDO CASTILLO ")</f>
        <v xml:space="preserve">CLIENTE ELVA REGINA GONZALEZ DELGADO IZZI movil comparte tus datos 12M PROMO 3M VENDEDOR BENJAMIN SALAZAR SUPERVISOR JOSE IGNACIO QUEVEDO CASTILLO </v>
      </c>
    </row>
    <row r="47" spans="1:15" s="92" customFormat="1" ht="18" customHeight="1">
      <c r="A47" s="5" t="s">
        <v>404</v>
      </c>
      <c r="B47" s="91">
        <v>45637</v>
      </c>
      <c r="C47" s="5" t="s">
        <v>13</v>
      </c>
      <c r="D47" s="5" t="s">
        <v>405</v>
      </c>
      <c r="E47" s="5" t="s">
        <v>406</v>
      </c>
      <c r="F47" s="5" t="s">
        <v>407</v>
      </c>
      <c r="G47" s="5" t="s">
        <v>408</v>
      </c>
      <c r="H47" s="19" t="s">
        <v>409</v>
      </c>
      <c r="I47" s="5" t="s">
        <v>410</v>
      </c>
      <c r="J47" s="5" t="s">
        <v>28</v>
      </c>
      <c r="K47" s="19" t="s">
        <v>88</v>
      </c>
      <c r="L47" s="19" t="s">
        <v>51</v>
      </c>
      <c r="M47" s="5" t="str">
        <f t="shared" ref="M47:M68" si="4">CONCATENATE("CLIENTE ", F47," ",J47, " VENDEDOR BENJAMIN SALAZAR SUPERVISOR JOSE IGNACIO QUEVEDO CASTILLO ")</f>
        <v xml:space="preserve">CLIENTE ERASMO MARTINEZ FERNANDEZ IZZI movil comparte tus datos 12M PROMO 3M VENDEDOR BENJAMIN SALAZAR SUPERVISOR JOSE IGNACIO QUEVEDO CASTILLO </v>
      </c>
      <c r="N47" s="63"/>
      <c r="O47" s="63"/>
    </row>
    <row r="48" spans="1:15" ht="18" customHeight="1">
      <c r="A48" s="5" t="s">
        <v>411</v>
      </c>
      <c r="B48" s="91">
        <v>45637</v>
      </c>
      <c r="C48" s="5" t="s">
        <v>13</v>
      </c>
      <c r="D48" s="5" t="s">
        <v>412</v>
      </c>
      <c r="E48" s="5" t="s">
        <v>413</v>
      </c>
      <c r="F48" s="5" t="s">
        <v>414</v>
      </c>
      <c r="G48" s="5" t="s">
        <v>415</v>
      </c>
      <c r="H48" s="19" t="s">
        <v>416</v>
      </c>
      <c r="I48" s="5" t="s">
        <v>417</v>
      </c>
      <c r="J48" s="5" t="s">
        <v>28</v>
      </c>
      <c r="K48" s="19" t="s">
        <v>88</v>
      </c>
      <c r="L48" s="19" t="s">
        <v>51</v>
      </c>
      <c r="M48" s="5" t="str">
        <f t="shared" si="4"/>
        <v xml:space="preserve">CLIENTE MARIO ENRIQUE ALVARADO BARAJAS IZZI movil comparte tus datos 12M PROMO 3M VENDEDOR BENJAMIN SALAZAR SUPERVISOR JOSE IGNACIO QUEVEDO CASTILLO </v>
      </c>
    </row>
    <row r="49" spans="1:15" s="92" customFormat="1" ht="18" customHeight="1">
      <c r="A49" s="5" t="s">
        <v>418</v>
      </c>
      <c r="B49" s="91">
        <v>45638</v>
      </c>
      <c r="C49" s="5" t="s">
        <v>13</v>
      </c>
      <c r="D49" s="5" t="s">
        <v>419</v>
      </c>
      <c r="E49" s="5" t="s">
        <v>420</v>
      </c>
      <c r="F49" s="5" t="s">
        <v>421</v>
      </c>
      <c r="G49" s="5" t="s">
        <v>422</v>
      </c>
      <c r="H49" s="19" t="s">
        <v>423</v>
      </c>
      <c r="I49" s="5" t="s">
        <v>424</v>
      </c>
      <c r="J49" s="5" t="s">
        <v>227</v>
      </c>
      <c r="K49" s="19" t="s">
        <v>88</v>
      </c>
      <c r="L49" s="19" t="s">
        <v>228</v>
      </c>
      <c r="M49" s="5" t="str">
        <f t="shared" si="4"/>
        <v xml:space="preserve">CLIENTE RAFAEL RODRIGUEZ PONCE IZZI MOVIL 8 12M VENDEDOR BENJAMIN SALAZAR SUPERVISOR JOSE IGNACIO QUEVEDO CASTILLO </v>
      </c>
      <c r="N49" s="63"/>
      <c r="O49" s="63"/>
    </row>
    <row r="50" spans="1:15" s="61" customFormat="1" ht="18" customHeight="1">
      <c r="A50" s="14" t="s">
        <v>425</v>
      </c>
      <c r="B50" s="13">
        <v>45638</v>
      </c>
      <c r="C50" s="14" t="s">
        <v>13</v>
      </c>
      <c r="D50" s="14" t="s">
        <v>426</v>
      </c>
      <c r="E50" s="14" t="s">
        <v>427</v>
      </c>
      <c r="F50" s="14" t="s">
        <v>428</v>
      </c>
      <c r="G50" s="14" t="s">
        <v>429</v>
      </c>
      <c r="H50" s="29" t="s">
        <v>430</v>
      </c>
      <c r="I50" s="14" t="s">
        <v>431</v>
      </c>
      <c r="J50" s="14" t="s">
        <v>227</v>
      </c>
      <c r="K50" s="29" t="s">
        <v>88</v>
      </c>
      <c r="L50" s="29" t="s">
        <v>51</v>
      </c>
      <c r="M50" s="14" t="str">
        <f t="shared" si="4"/>
        <v xml:space="preserve">CLIENTE JESUS ALEJANDRO HERNANDEZ GARZA IZZI MOVIL 8 12M VENDEDOR BENJAMIN SALAZAR SUPERVISOR JOSE IGNACIO QUEVEDO CASTILLO </v>
      </c>
      <c r="N50" s="60"/>
      <c r="O50" s="60"/>
    </row>
    <row r="51" spans="1:15" ht="18" customHeight="1">
      <c r="A51" s="5" t="s">
        <v>438</v>
      </c>
      <c r="B51" s="91">
        <v>45639</v>
      </c>
      <c r="C51" s="5" t="s">
        <v>13</v>
      </c>
      <c r="D51" s="5" t="s">
        <v>439</v>
      </c>
      <c r="E51" s="5" t="s">
        <v>440</v>
      </c>
      <c r="F51" s="5" t="s">
        <v>441</v>
      </c>
      <c r="G51" s="5" t="s">
        <v>442</v>
      </c>
      <c r="H51" s="19" t="s">
        <v>443</v>
      </c>
      <c r="I51" s="5" t="s">
        <v>444</v>
      </c>
      <c r="J51" s="5" t="s">
        <v>445</v>
      </c>
      <c r="K51" s="19" t="s">
        <v>88</v>
      </c>
      <c r="L51" s="19" t="s">
        <v>446</v>
      </c>
      <c r="M51" s="5" t="str">
        <f t="shared" si="4"/>
        <v xml:space="preserve">CLIENTE DEMETRIO RAMIREZ SANCHEZ IZZI MOVIL 15 VENDEDOR BENJAMIN SALAZAR SUPERVISOR JOSE IGNACIO QUEVEDO CASTILLO </v>
      </c>
    </row>
    <row r="52" spans="1:15" ht="18" customHeight="1">
      <c r="A52" s="5" t="s">
        <v>447</v>
      </c>
      <c r="B52" s="91">
        <v>45639</v>
      </c>
      <c r="C52" s="5" t="s">
        <v>13</v>
      </c>
      <c r="D52" s="5" t="s">
        <v>448</v>
      </c>
      <c r="E52" s="5" t="s">
        <v>449</v>
      </c>
      <c r="F52" s="5" t="s">
        <v>450</v>
      </c>
      <c r="G52" s="5" t="s">
        <v>451</v>
      </c>
      <c r="H52" s="19">
        <v>6643669316</v>
      </c>
      <c r="I52" s="5" t="s">
        <v>452</v>
      </c>
      <c r="J52" s="5" t="s">
        <v>227</v>
      </c>
      <c r="K52" s="19" t="s">
        <v>88</v>
      </c>
      <c r="L52" s="19" t="s">
        <v>228</v>
      </c>
      <c r="M52" s="5" t="str">
        <f t="shared" si="4"/>
        <v xml:space="preserve">CLIENTE MARIANO ANGEL HERNANDEZ IZZI MOVIL 8 12M VENDEDOR BENJAMIN SALAZAR SUPERVISOR JOSE IGNACIO QUEVEDO CASTILLO </v>
      </c>
    </row>
    <row r="53" spans="1:15" ht="18" customHeight="1">
      <c r="A53" s="5" t="s">
        <v>459</v>
      </c>
      <c r="B53" s="91">
        <v>45640</v>
      </c>
      <c r="C53" s="5" t="s">
        <v>13</v>
      </c>
      <c r="D53" s="5" t="s">
        <v>460</v>
      </c>
      <c r="E53" s="5" t="s">
        <v>461</v>
      </c>
      <c r="F53" s="5" t="s">
        <v>455</v>
      </c>
      <c r="G53" s="5" t="s">
        <v>456</v>
      </c>
      <c r="H53" s="19" t="s">
        <v>457</v>
      </c>
      <c r="I53" s="5" t="s">
        <v>462</v>
      </c>
      <c r="J53" s="5" t="s">
        <v>28</v>
      </c>
      <c r="K53" s="19" t="s">
        <v>88</v>
      </c>
      <c r="L53" s="19" t="s">
        <v>51</v>
      </c>
      <c r="M53" s="5" t="str">
        <f t="shared" si="4"/>
        <v xml:space="preserve">CLIENTE MARIA TERESA MARTINEZ MATA IZZI movil comparte tus datos 12M PROMO 3M VENDEDOR BENJAMIN SALAZAR SUPERVISOR JOSE IGNACIO QUEVEDO CASTILLO </v>
      </c>
    </row>
    <row r="54" spans="1:15" ht="18" customHeight="1">
      <c r="A54" s="5" t="s">
        <v>463</v>
      </c>
      <c r="B54" s="91">
        <v>45640</v>
      </c>
      <c r="C54" s="5" t="s">
        <v>13</v>
      </c>
      <c r="D54" s="5">
        <v>39415438</v>
      </c>
      <c r="E54" s="5" t="s">
        <v>464</v>
      </c>
      <c r="F54" s="5" t="s">
        <v>465</v>
      </c>
      <c r="G54" s="5" t="s">
        <v>422</v>
      </c>
      <c r="H54" s="19" t="s">
        <v>466</v>
      </c>
      <c r="I54" s="5" t="s">
        <v>467</v>
      </c>
      <c r="J54" s="5" t="s">
        <v>227</v>
      </c>
      <c r="K54" s="19" t="s">
        <v>88</v>
      </c>
      <c r="L54" s="19" t="s">
        <v>228</v>
      </c>
      <c r="M54" s="5" t="str">
        <f t="shared" si="4"/>
        <v xml:space="preserve">CLIENTE ANGEL EMILIANO CHAPARRO LOPEZ IZZI MOVIL 8 12M VENDEDOR BENJAMIN SALAZAR SUPERVISOR JOSE IGNACIO QUEVEDO CASTILLO </v>
      </c>
    </row>
    <row r="55" spans="1:15" ht="18" customHeight="1">
      <c r="A55" s="5" t="s">
        <v>468</v>
      </c>
      <c r="B55" s="91">
        <v>45640</v>
      </c>
      <c r="C55" s="5" t="s">
        <v>13</v>
      </c>
      <c r="D55" s="5">
        <v>31688382</v>
      </c>
      <c r="E55" s="5" t="s">
        <v>469</v>
      </c>
      <c r="F55" s="5" t="s">
        <v>470</v>
      </c>
      <c r="G55" s="5" t="s">
        <v>471</v>
      </c>
      <c r="H55" s="19" t="s">
        <v>472</v>
      </c>
      <c r="I55" s="5" t="s">
        <v>473</v>
      </c>
      <c r="J55" s="5" t="s">
        <v>227</v>
      </c>
      <c r="K55" s="19" t="s">
        <v>88</v>
      </c>
      <c r="L55" s="19" t="s">
        <v>228</v>
      </c>
      <c r="M55" s="5" t="str">
        <f t="shared" si="4"/>
        <v xml:space="preserve">CLIENTE SERGIO LUPERCIO MENDOZA IZZI MOVIL 8 12M VENDEDOR BENJAMIN SALAZAR SUPERVISOR JOSE IGNACIO QUEVEDO CASTILLO </v>
      </c>
    </row>
    <row r="56" spans="1:15" ht="18" customHeight="1">
      <c r="A56" s="5" t="s">
        <v>474</v>
      </c>
      <c r="B56" s="91">
        <v>45640</v>
      </c>
      <c r="C56" s="5" t="s">
        <v>13</v>
      </c>
      <c r="D56" s="5">
        <v>31688382</v>
      </c>
      <c r="E56" s="5" t="s">
        <v>469</v>
      </c>
      <c r="F56" s="5" t="s">
        <v>470</v>
      </c>
      <c r="G56" s="5" t="s">
        <v>471</v>
      </c>
      <c r="H56" s="19" t="s">
        <v>472</v>
      </c>
      <c r="I56" s="5" t="s">
        <v>473</v>
      </c>
      <c r="J56" s="5" t="s">
        <v>227</v>
      </c>
      <c r="K56" s="19" t="s">
        <v>88</v>
      </c>
      <c r="L56" s="19" t="s">
        <v>228</v>
      </c>
      <c r="M56" s="5" t="str">
        <f t="shared" si="4"/>
        <v xml:space="preserve">CLIENTE SERGIO LUPERCIO MENDOZA IZZI MOVIL 8 12M VENDEDOR BENJAMIN SALAZAR SUPERVISOR JOSE IGNACIO QUEVEDO CASTILLO </v>
      </c>
    </row>
    <row r="57" spans="1:15" ht="18" customHeight="1">
      <c r="A57" s="5" t="s">
        <v>481</v>
      </c>
      <c r="B57" s="1"/>
      <c r="C57" s="5" t="s">
        <v>13</v>
      </c>
      <c r="E57" s="2"/>
      <c r="F57" s="2"/>
      <c r="G57" s="5" t="s">
        <v>482</v>
      </c>
      <c r="J57" s="2"/>
      <c r="K57" s="19" t="s">
        <v>88</v>
      </c>
      <c r="L57" s="3"/>
      <c r="M57" s="5" t="str">
        <f t="shared" si="4"/>
        <v xml:space="preserve">CLIENTE   VENDEDOR BENJAMIN SALAZAR SUPERVISOR JOSE IGNACIO QUEVEDO CASTILLO </v>
      </c>
    </row>
    <row r="58" spans="1:15" ht="18" customHeight="1">
      <c r="A58" s="5" t="s">
        <v>483</v>
      </c>
      <c r="B58" s="1"/>
      <c r="C58" s="5" t="s">
        <v>13</v>
      </c>
      <c r="E58" s="2"/>
      <c r="F58" s="2"/>
      <c r="G58" s="2"/>
      <c r="J58" s="2"/>
      <c r="K58" s="19" t="s">
        <v>88</v>
      </c>
      <c r="L58" s="3"/>
      <c r="M58" s="5" t="str">
        <f t="shared" si="4"/>
        <v xml:space="preserve">CLIENTE   VENDEDOR BENJAMIN SALAZAR SUPERVISOR JOSE IGNACIO QUEVEDO CASTILLO </v>
      </c>
    </row>
    <row r="59" spans="1:15" ht="18" customHeight="1">
      <c r="A59" s="5" t="s">
        <v>484</v>
      </c>
      <c r="B59" s="1"/>
      <c r="C59" s="5" t="s">
        <v>13</v>
      </c>
      <c r="E59" s="2"/>
      <c r="F59" s="116"/>
      <c r="G59" s="2"/>
      <c r="J59" s="2"/>
      <c r="K59" s="19" t="s">
        <v>88</v>
      </c>
      <c r="L59" s="3"/>
      <c r="M59" s="5" t="str">
        <f t="shared" si="4"/>
        <v xml:space="preserve">CLIENTE   VENDEDOR BENJAMIN SALAZAR SUPERVISOR JOSE IGNACIO QUEVEDO CASTILLO </v>
      </c>
    </row>
    <row r="60" spans="1:15" ht="18" customHeight="1">
      <c r="A60" s="5" t="s">
        <v>485</v>
      </c>
      <c r="B60" s="1"/>
      <c r="C60" s="5" t="s">
        <v>13</v>
      </c>
      <c r="E60" s="2"/>
      <c r="F60" s="2"/>
      <c r="G60" s="2"/>
      <c r="J60" s="2"/>
      <c r="K60" s="19" t="s">
        <v>88</v>
      </c>
      <c r="L60" s="3"/>
      <c r="M60" s="5" t="str">
        <f t="shared" si="4"/>
        <v xml:space="preserve">CLIENTE   VENDEDOR BENJAMIN SALAZAR SUPERVISOR JOSE IGNACIO QUEVEDO CASTILLO </v>
      </c>
    </row>
    <row r="61" spans="1:15" ht="18" customHeight="1">
      <c r="A61" s="5" t="s">
        <v>486</v>
      </c>
      <c r="B61" s="1"/>
      <c r="C61" s="5" t="s">
        <v>13</v>
      </c>
      <c r="E61" s="2"/>
      <c r="F61" s="2"/>
      <c r="G61" s="2"/>
      <c r="J61" s="2"/>
      <c r="K61" s="19" t="s">
        <v>88</v>
      </c>
      <c r="L61" s="3"/>
      <c r="M61" s="5" t="str">
        <f t="shared" si="4"/>
        <v xml:space="preserve">CLIENTE   VENDEDOR BENJAMIN SALAZAR SUPERVISOR JOSE IGNACIO QUEVEDO CASTILLO </v>
      </c>
    </row>
    <row r="62" spans="1:15" ht="18" customHeight="1">
      <c r="A62" s="5" t="s">
        <v>487</v>
      </c>
      <c r="B62" s="1"/>
      <c r="C62" s="5" t="s">
        <v>13</v>
      </c>
      <c r="E62" s="2"/>
      <c r="F62" s="2"/>
      <c r="G62" s="2"/>
      <c r="J62" s="2"/>
      <c r="K62" s="19" t="s">
        <v>88</v>
      </c>
      <c r="L62" s="3"/>
      <c r="M62" s="5" t="str">
        <f t="shared" si="4"/>
        <v xml:space="preserve">CLIENTE   VENDEDOR BENJAMIN SALAZAR SUPERVISOR JOSE IGNACIO QUEVEDO CASTILLO </v>
      </c>
    </row>
    <row r="63" spans="1:15" ht="18" customHeight="1">
      <c r="A63" s="5" t="s">
        <v>488</v>
      </c>
      <c r="B63" s="1"/>
      <c r="C63" s="5" t="s">
        <v>13</v>
      </c>
      <c r="E63" s="2"/>
      <c r="F63" s="2"/>
      <c r="G63" s="2"/>
      <c r="J63" s="2"/>
      <c r="K63" s="19" t="s">
        <v>88</v>
      </c>
      <c r="L63" s="3"/>
      <c r="M63" s="5" t="str">
        <f t="shared" si="4"/>
        <v xml:space="preserve">CLIENTE   VENDEDOR BENJAMIN SALAZAR SUPERVISOR JOSE IGNACIO QUEVEDO CASTILLO </v>
      </c>
    </row>
    <row r="64" spans="1:15" ht="18" customHeight="1">
      <c r="A64" s="5" t="s">
        <v>489</v>
      </c>
      <c r="B64" s="1"/>
      <c r="C64" s="5" t="s">
        <v>13</v>
      </c>
      <c r="E64" s="2"/>
      <c r="F64" s="2"/>
      <c r="G64" s="2"/>
      <c r="J64" s="2"/>
      <c r="K64" s="19" t="s">
        <v>88</v>
      </c>
      <c r="L64" s="3"/>
      <c r="M64" s="5" t="str">
        <f t="shared" si="4"/>
        <v xml:space="preserve">CLIENTE   VENDEDOR BENJAMIN SALAZAR SUPERVISOR JOSE IGNACIO QUEVEDO CASTILLO </v>
      </c>
    </row>
    <row r="65" spans="1:13" ht="18" customHeight="1">
      <c r="A65" s="5" t="s">
        <v>490</v>
      </c>
      <c r="B65" s="1"/>
      <c r="C65" s="5" t="s">
        <v>13</v>
      </c>
      <c r="E65" s="2"/>
      <c r="F65" s="2"/>
      <c r="G65" s="2"/>
      <c r="J65" s="2"/>
      <c r="K65" s="19" t="s">
        <v>88</v>
      </c>
      <c r="L65" s="3"/>
      <c r="M65" s="5" t="str">
        <f t="shared" si="4"/>
        <v xml:space="preserve">CLIENTE   VENDEDOR BENJAMIN SALAZAR SUPERVISOR JOSE IGNACIO QUEVEDO CASTILLO </v>
      </c>
    </row>
    <row r="66" spans="1:13" ht="18" customHeight="1">
      <c r="A66" s="5" t="s">
        <v>491</v>
      </c>
      <c r="B66" s="1"/>
      <c r="C66" s="5" t="s">
        <v>13</v>
      </c>
      <c r="E66" s="2"/>
      <c r="F66" s="2"/>
      <c r="G66" s="2"/>
      <c r="J66" s="2"/>
      <c r="K66" s="19" t="s">
        <v>88</v>
      </c>
      <c r="L66" s="3"/>
      <c r="M66" s="5" t="str">
        <f t="shared" si="4"/>
        <v xml:space="preserve">CLIENTE   VENDEDOR BENJAMIN SALAZAR SUPERVISOR JOSE IGNACIO QUEVEDO CASTILLO </v>
      </c>
    </row>
    <row r="67" spans="1:13" ht="18" customHeight="1">
      <c r="A67" s="5" t="s">
        <v>492</v>
      </c>
      <c r="B67" s="1"/>
      <c r="C67" s="5" t="s">
        <v>13</v>
      </c>
      <c r="E67" s="2"/>
      <c r="F67" s="2"/>
      <c r="G67" s="2"/>
      <c r="J67" s="2"/>
      <c r="K67" s="19" t="s">
        <v>88</v>
      </c>
      <c r="L67" s="3"/>
      <c r="M67" s="5" t="str">
        <f t="shared" si="4"/>
        <v xml:space="preserve">CLIENTE   VENDEDOR BENJAMIN SALAZAR SUPERVISOR JOSE IGNACIO QUEVEDO CASTILLO </v>
      </c>
    </row>
    <row r="68" spans="1:13" ht="18" customHeight="1">
      <c r="A68" s="5" t="s">
        <v>493</v>
      </c>
      <c r="B68" s="1"/>
      <c r="C68" s="5" t="s">
        <v>13</v>
      </c>
      <c r="E68" s="2"/>
      <c r="F68" s="2"/>
      <c r="G68" s="2"/>
      <c r="J68" s="2"/>
      <c r="K68" s="19" t="s">
        <v>88</v>
      </c>
      <c r="L68" s="3"/>
      <c r="M68" s="5" t="str">
        <f t="shared" si="4"/>
        <v xml:space="preserve">CLIENTE   VENDEDOR BENJAMIN SALAZAR SUPERVISOR JOSE IGNACIO QUEVEDO CASTILLO </v>
      </c>
    </row>
    <row r="69" spans="1:13" ht="18" customHeight="1">
      <c r="A69" s="67"/>
      <c r="B69" s="1"/>
      <c r="C69" s="2"/>
      <c r="E69" s="2"/>
      <c r="F69" s="2"/>
      <c r="G69" s="2"/>
      <c r="J69" s="2"/>
      <c r="K69" s="24"/>
      <c r="L69" s="3"/>
      <c r="M69" s="1"/>
    </row>
    <row r="70" spans="1:13" ht="18" customHeight="1">
      <c r="A70" s="67"/>
      <c r="B70" s="1"/>
      <c r="C70" s="2"/>
      <c r="E70" s="2"/>
      <c r="F70" s="2"/>
      <c r="G70" s="2"/>
      <c r="J70" s="2"/>
      <c r="K70" s="24"/>
      <c r="L70" s="3"/>
      <c r="M70" s="1"/>
    </row>
    <row r="71" spans="1:13" ht="18" customHeight="1">
      <c r="A71" s="67"/>
      <c r="B71" s="1"/>
      <c r="C71" s="2"/>
      <c r="E71" s="2"/>
      <c r="F71" s="2"/>
      <c r="G71" s="2"/>
      <c r="J71" s="2"/>
      <c r="K71" s="24"/>
      <c r="L71" s="3"/>
      <c r="M71" s="1"/>
    </row>
    <row r="72" spans="1:13" ht="18" customHeight="1">
      <c r="A72" s="67"/>
      <c r="B72" s="1"/>
      <c r="C72" s="2"/>
      <c r="E72" s="2"/>
      <c r="F72" s="2"/>
      <c r="G72" s="2"/>
      <c r="J72" s="2"/>
      <c r="K72" s="24"/>
      <c r="L72" s="3"/>
      <c r="M72" s="1"/>
    </row>
    <row r="73" spans="1:13" ht="18" customHeight="1">
      <c r="A73" s="67"/>
      <c r="B73" s="1"/>
      <c r="C73" s="2"/>
      <c r="E73" s="2"/>
      <c r="F73" s="2"/>
      <c r="G73" s="2"/>
      <c r="J73" s="2"/>
      <c r="K73" s="24"/>
      <c r="L73" s="3"/>
      <c r="M73" s="1"/>
    </row>
    <row r="74" spans="1:13" ht="18" customHeight="1">
      <c r="A74" s="67"/>
      <c r="B74" s="1"/>
      <c r="C74" s="2"/>
      <c r="E74" s="2"/>
      <c r="F74" s="2"/>
      <c r="G74" s="2"/>
      <c r="J74" s="2"/>
      <c r="K74" s="24"/>
      <c r="L74" s="3"/>
      <c r="M74" s="1"/>
    </row>
    <row r="75" spans="1:13" ht="18" customHeight="1">
      <c r="A75" s="67"/>
      <c r="B75" s="1"/>
      <c r="C75" s="2"/>
      <c r="E75" s="2"/>
      <c r="F75" s="2"/>
      <c r="G75" s="2"/>
      <c r="J75" s="2"/>
      <c r="K75" s="24"/>
      <c r="L75" s="3"/>
      <c r="M75" s="1"/>
    </row>
    <row r="76" spans="1:13" ht="18" customHeight="1">
      <c r="A76" s="67"/>
      <c r="B76" s="1"/>
      <c r="C76" s="2"/>
      <c r="E76" s="2"/>
      <c r="F76" s="2"/>
      <c r="G76" s="2"/>
      <c r="J76" s="2"/>
      <c r="K76" s="24"/>
      <c r="L76" s="3"/>
      <c r="M76" s="1"/>
    </row>
    <row r="77" spans="1:13" ht="18" customHeight="1">
      <c r="A77" s="67"/>
      <c r="B77" s="1"/>
      <c r="C77" s="2"/>
      <c r="D77" s="2" t="s">
        <v>494</v>
      </c>
      <c r="E77" s="2"/>
      <c r="F77" s="24"/>
      <c r="G77" s="2"/>
      <c r="H77" s="2"/>
      <c r="I77" s="2"/>
      <c r="J77" s="2"/>
      <c r="K77" s="24" t="s">
        <v>495</v>
      </c>
      <c r="L77" s="2"/>
      <c r="M77" s="1"/>
    </row>
    <row r="78" spans="1:13" ht="18" customHeight="1">
      <c r="A78" s="67"/>
      <c r="B78" s="1"/>
      <c r="C78" s="2"/>
      <c r="D78" s="2" t="s">
        <v>496</v>
      </c>
      <c r="E78" s="2"/>
      <c r="F78" s="24"/>
      <c r="G78" s="2"/>
      <c r="H78" s="2"/>
      <c r="I78" s="2"/>
      <c r="J78" s="2"/>
      <c r="K78" s="24" t="s">
        <v>497</v>
      </c>
      <c r="L78" s="2" t="s">
        <v>498</v>
      </c>
      <c r="M78" s="1"/>
    </row>
    <row r="79" spans="1:13" ht="18" customHeight="1">
      <c r="A79" s="67"/>
      <c r="B79" s="1"/>
      <c r="C79" s="2"/>
      <c r="E79" s="2"/>
      <c r="F79" s="27"/>
      <c r="G79" s="2"/>
      <c r="H79" s="63"/>
      <c r="I79" s="2"/>
      <c r="J79" s="2"/>
      <c r="K79" s="24"/>
      <c r="L79" s="3"/>
      <c r="M79" s="1"/>
    </row>
    <row r="80" spans="1:13" ht="18" customHeight="1">
      <c r="A80" s="67"/>
      <c r="B80" s="1"/>
      <c r="C80" s="2"/>
      <c r="D80" s="2"/>
      <c r="E80" s="2"/>
      <c r="F80" s="2"/>
      <c r="G80" s="2"/>
      <c r="H80" s="24"/>
      <c r="I80" s="2"/>
      <c r="J80" s="2"/>
      <c r="K80" s="24"/>
      <c r="L80" s="3"/>
      <c r="M80" s="1"/>
    </row>
    <row r="81" spans="1:13" ht="18" customHeight="1">
      <c r="A81" s="67"/>
      <c r="B81" s="1"/>
      <c r="C81" s="2"/>
      <c r="D81" s="2"/>
      <c r="E81" s="2"/>
      <c r="F81" s="2"/>
      <c r="G81" s="2"/>
      <c r="H81" s="24"/>
      <c r="I81" s="2"/>
      <c r="J81" s="2"/>
      <c r="K81" s="24"/>
      <c r="L81" s="3"/>
      <c r="M81" s="1"/>
    </row>
    <row r="82" spans="1:13" ht="18" customHeight="1">
      <c r="A82" s="67"/>
      <c r="B82" s="1"/>
      <c r="C82" s="2"/>
      <c r="D82" s="2"/>
      <c r="F82" s="2"/>
      <c r="G82" s="2"/>
      <c r="H82" s="24"/>
      <c r="I82" s="2"/>
      <c r="J82" s="2"/>
      <c r="K82" s="24"/>
      <c r="L82" s="3"/>
      <c r="M82" s="1"/>
    </row>
    <row r="83" spans="1:13" ht="18" customHeight="1">
      <c r="A83" s="67"/>
      <c r="B83" s="1"/>
      <c r="C83" s="2"/>
      <c r="D83" s="2"/>
      <c r="E83" s="2"/>
      <c r="F83" s="2"/>
      <c r="G83" s="2"/>
      <c r="H83" s="24"/>
      <c r="I83" s="2"/>
      <c r="J83" s="2"/>
      <c r="K83" s="24"/>
      <c r="L83" s="3"/>
      <c r="M83" s="1"/>
    </row>
    <row r="84" spans="1:13" ht="18" customHeight="1">
      <c r="A84" s="67"/>
      <c r="B84" s="1"/>
      <c r="C84" s="2"/>
      <c r="D84" s="2"/>
      <c r="E84" s="2"/>
      <c r="F84" s="2"/>
      <c r="G84" s="2"/>
      <c r="H84" s="24"/>
      <c r="I84" s="2"/>
      <c r="J84" s="2"/>
      <c r="K84" s="24"/>
      <c r="L84" s="3"/>
      <c r="M84" s="1"/>
    </row>
    <row r="85" spans="1:13" ht="18" customHeight="1">
      <c r="A85" s="67"/>
      <c r="B85" s="1"/>
      <c r="C85" s="2"/>
      <c r="D85" s="2"/>
      <c r="E85" s="2"/>
      <c r="F85" s="2"/>
      <c r="G85" s="2"/>
      <c r="H85" s="24"/>
      <c r="I85" s="2"/>
      <c r="J85" s="2"/>
      <c r="K85" s="24"/>
      <c r="L85" s="3"/>
      <c r="M85" s="1"/>
    </row>
    <row r="86" spans="1:13" ht="18" customHeight="1">
      <c r="A86" s="67"/>
      <c r="B86" s="1"/>
      <c r="C86" s="2"/>
      <c r="D86" s="2"/>
      <c r="E86" s="2"/>
      <c r="F86" s="2"/>
      <c r="G86" s="2"/>
      <c r="H86" s="24"/>
      <c r="I86" s="2"/>
      <c r="J86" s="2"/>
      <c r="K86" s="24"/>
      <c r="L86" s="3"/>
      <c r="M86" s="1"/>
    </row>
    <row r="87" spans="1:13" ht="18" customHeight="1">
      <c r="A87" s="67"/>
      <c r="B87" s="1"/>
      <c r="C87" s="2"/>
      <c r="D87" s="2"/>
      <c r="E87" s="2"/>
      <c r="F87" s="2"/>
      <c r="G87" s="2"/>
      <c r="H87" s="24"/>
      <c r="I87" s="2"/>
      <c r="J87" s="2"/>
      <c r="K87" s="24"/>
      <c r="L87" s="3"/>
      <c r="M87" s="1"/>
    </row>
    <row r="88" spans="1:13" ht="18" customHeight="1">
      <c r="A88" s="67"/>
      <c r="B88" s="1"/>
      <c r="C88" s="2"/>
      <c r="D88" s="2"/>
      <c r="E88" s="2"/>
      <c r="F88" s="2"/>
      <c r="G88" s="2"/>
      <c r="H88" s="24"/>
      <c r="I88" s="2"/>
      <c r="J88" s="2"/>
      <c r="K88" s="24"/>
      <c r="L88" s="3"/>
      <c r="M88" s="1"/>
    </row>
    <row r="89" spans="1:13" ht="18" customHeight="1">
      <c r="A89" s="67"/>
      <c r="B89" s="1"/>
      <c r="C89" s="2"/>
      <c r="D89" s="2"/>
      <c r="E89" s="2"/>
      <c r="F89" s="2"/>
      <c r="G89" s="2"/>
      <c r="H89" s="24"/>
      <c r="I89" s="2"/>
      <c r="J89" s="2"/>
      <c r="K89" s="24"/>
      <c r="L89" s="3"/>
      <c r="M89" s="1"/>
    </row>
    <row r="90" spans="1:13" ht="18" customHeight="1">
      <c r="A90" s="67"/>
      <c r="B90" s="1"/>
      <c r="C90" s="2"/>
      <c r="D90" s="2"/>
      <c r="E90" s="2"/>
      <c r="F90" s="2"/>
      <c r="G90" s="2"/>
      <c r="H90" s="24"/>
      <c r="I90" s="2"/>
      <c r="J90" s="2"/>
      <c r="K90" s="24"/>
      <c r="L90" s="3"/>
      <c r="M90" s="1"/>
    </row>
    <row r="91" spans="1:13" ht="18" customHeight="1">
      <c r="A91" s="67"/>
      <c r="B91" s="1"/>
      <c r="C91" s="2"/>
      <c r="D91" s="2"/>
      <c r="E91" s="2"/>
      <c r="F91" s="2"/>
      <c r="G91" s="2"/>
      <c r="H91" s="24"/>
      <c r="I91" s="2"/>
      <c r="J91" s="2"/>
      <c r="K91" s="24"/>
      <c r="L91" s="3"/>
      <c r="M91" s="1"/>
    </row>
    <row r="92" spans="1:13" ht="18" customHeight="1">
      <c r="A92" s="67"/>
      <c r="B92" s="1"/>
      <c r="C92" s="2"/>
      <c r="D92" s="2"/>
      <c r="E92" s="2"/>
      <c r="F92" s="2"/>
      <c r="G92" s="2"/>
      <c r="H92" s="24"/>
      <c r="I92" s="2"/>
      <c r="J92" s="2"/>
      <c r="K92" s="24"/>
      <c r="L92" s="3"/>
      <c r="M92" s="1"/>
    </row>
    <row r="93" spans="1:13" ht="18" customHeight="1">
      <c r="A93" s="67"/>
      <c r="B93" s="1"/>
      <c r="C93" s="2"/>
      <c r="D93" s="2"/>
      <c r="E93" s="2"/>
      <c r="F93" s="2"/>
      <c r="G93" s="2"/>
      <c r="H93" s="24"/>
      <c r="I93" s="2"/>
      <c r="J93" s="2"/>
      <c r="K93" s="24"/>
      <c r="L93" s="3"/>
      <c r="M93" s="1"/>
    </row>
    <row r="94" spans="1:13" ht="18" customHeight="1">
      <c r="A94" s="67"/>
      <c r="B94" s="1"/>
      <c r="C94" s="2"/>
      <c r="D94" s="2"/>
      <c r="E94" s="2"/>
      <c r="F94" s="2"/>
      <c r="G94" s="2"/>
      <c r="H94" s="24"/>
      <c r="I94" s="2"/>
      <c r="J94" s="2"/>
      <c r="K94" s="24"/>
      <c r="L94" s="3"/>
      <c r="M94" s="1"/>
    </row>
    <row r="95" spans="1:13" ht="18" customHeight="1">
      <c r="A95" s="51"/>
      <c r="B95" s="1" t="s">
        <v>499</v>
      </c>
      <c r="C95" s="2"/>
      <c r="D95" s="2"/>
      <c r="E95" s="2"/>
      <c r="F95" s="2"/>
      <c r="G95" s="2"/>
      <c r="H95" s="24"/>
      <c r="I95" s="2"/>
      <c r="J95" s="2"/>
      <c r="K95" s="24"/>
      <c r="L95" s="3"/>
      <c r="M95" s="1"/>
    </row>
    <row r="96" spans="1:13" ht="18" customHeight="1">
      <c r="A96" s="75"/>
      <c r="B96" s="1" t="s">
        <v>500</v>
      </c>
      <c r="C96" s="2"/>
      <c r="D96" s="2"/>
      <c r="E96" s="67"/>
      <c r="F96" s="67"/>
      <c r="G96" s="2"/>
      <c r="H96" s="25"/>
      <c r="I96" s="67"/>
      <c r="J96" s="67"/>
      <c r="K96" s="25"/>
      <c r="L96" s="3"/>
      <c r="M96" s="1"/>
    </row>
    <row r="97" spans="1:13" ht="18" customHeight="1">
      <c r="A97" s="68"/>
      <c r="B97" s="1" t="s">
        <v>501</v>
      </c>
      <c r="C97" s="2"/>
      <c r="D97" s="2"/>
      <c r="E97" s="67"/>
      <c r="F97" s="67"/>
      <c r="G97" s="2"/>
      <c r="H97" s="25"/>
      <c r="I97" s="67"/>
      <c r="J97" s="67"/>
      <c r="K97" s="25"/>
      <c r="L97" s="3"/>
      <c r="M97" s="1"/>
    </row>
    <row r="98" spans="1:13" ht="18" customHeight="1">
      <c r="A98" s="53"/>
      <c r="B98" s="1" t="s">
        <v>502</v>
      </c>
      <c r="C98" s="2"/>
      <c r="D98" s="2"/>
      <c r="E98" s="67"/>
      <c r="F98" s="67"/>
      <c r="G98" s="2"/>
      <c r="H98" s="25"/>
      <c r="I98" s="67"/>
      <c r="J98" s="67"/>
      <c r="K98" s="25"/>
      <c r="L98" s="3"/>
      <c r="M98" s="1"/>
    </row>
    <row r="99" spans="1:13" ht="18" customHeight="1">
      <c r="A99" s="46"/>
      <c r="B99" s="1" t="s">
        <v>503</v>
      </c>
      <c r="C99" s="2"/>
      <c r="D99" s="2"/>
      <c r="E99" s="67"/>
      <c r="F99" s="67"/>
      <c r="G99" s="2"/>
      <c r="H99" s="25"/>
      <c r="I99" s="67"/>
      <c r="J99" s="67"/>
      <c r="K99" s="25"/>
      <c r="L99" s="3"/>
      <c r="M99" s="1"/>
    </row>
    <row r="100" spans="1:13" ht="18" customHeight="1">
      <c r="A100" s="67"/>
      <c r="B100" s="1"/>
      <c r="C100" s="2"/>
      <c r="D100" s="2"/>
      <c r="E100" s="67"/>
      <c r="F100" s="67"/>
      <c r="G100" s="2"/>
      <c r="H100" s="25"/>
      <c r="I100" s="67"/>
      <c r="J100" s="67"/>
      <c r="K100" s="25"/>
      <c r="L100" s="3"/>
      <c r="M100" s="1"/>
    </row>
    <row r="101" spans="1:13" ht="18" customHeight="1">
      <c r="A101" s="67"/>
      <c r="B101" s="1"/>
      <c r="C101" s="2"/>
      <c r="D101" s="2"/>
      <c r="E101" s="67"/>
      <c r="F101" s="67"/>
      <c r="G101" s="2"/>
      <c r="H101" s="25"/>
      <c r="I101" s="67"/>
      <c r="J101" s="67"/>
      <c r="K101" s="25"/>
      <c r="L101" s="3"/>
      <c r="M101" s="1"/>
    </row>
    <row r="102" spans="1:13" ht="18" customHeight="1">
      <c r="A102" s="67"/>
      <c r="B102" s="1"/>
      <c r="C102" s="2"/>
      <c r="D102" s="2"/>
      <c r="E102" s="67"/>
      <c r="F102" s="67"/>
      <c r="G102" s="2"/>
      <c r="H102" s="25"/>
      <c r="I102" s="67"/>
      <c r="J102" s="67"/>
      <c r="K102" s="25"/>
      <c r="L102" s="3"/>
      <c r="M102" s="1"/>
    </row>
    <row r="103" spans="1:13" ht="18" customHeight="1">
      <c r="A103" s="67"/>
      <c r="B103" s="1"/>
      <c r="C103" s="2"/>
      <c r="D103" s="2"/>
      <c r="E103" s="67"/>
      <c r="F103" s="67"/>
      <c r="G103" s="2"/>
      <c r="H103" s="25"/>
      <c r="I103" s="67"/>
      <c r="J103" s="67"/>
      <c r="K103" s="25"/>
      <c r="L103" s="3"/>
      <c r="M103" s="1"/>
    </row>
    <row r="104" spans="1:13" ht="18" customHeight="1">
      <c r="A104" s="67"/>
      <c r="B104" s="1"/>
      <c r="C104" s="2"/>
      <c r="D104" s="2"/>
      <c r="E104" s="67"/>
      <c r="F104" s="67"/>
      <c r="G104" s="2"/>
      <c r="H104" s="25"/>
      <c r="I104" s="67"/>
      <c r="J104" s="67"/>
      <c r="K104" s="25"/>
      <c r="L104" s="3"/>
      <c r="M104" s="1"/>
    </row>
    <row r="105" spans="1:13" ht="18" customHeight="1">
      <c r="A105" s="67"/>
      <c r="B105" s="1"/>
      <c r="C105" s="1"/>
      <c r="D105" s="1"/>
      <c r="E105" s="67"/>
      <c r="F105" s="67"/>
      <c r="G105" s="2"/>
      <c r="H105" s="25"/>
      <c r="I105" s="67"/>
      <c r="J105" s="67"/>
      <c r="K105" s="25"/>
      <c r="L105" s="3"/>
      <c r="M105" s="1"/>
    </row>
    <row r="106" spans="1:13" ht="18" customHeight="1">
      <c r="A106" s="67"/>
      <c r="B106" s="69"/>
      <c r="C106" s="69"/>
      <c r="D106" s="2"/>
      <c r="E106" s="67"/>
      <c r="F106" s="67"/>
      <c r="G106" s="2"/>
      <c r="H106" s="25"/>
      <c r="I106" s="67"/>
      <c r="J106" s="67"/>
      <c r="K106" s="25"/>
    </row>
    <row r="107" spans="1:13" ht="18" customHeight="1">
      <c r="A107" s="67"/>
      <c r="B107" s="69"/>
      <c r="C107" s="69"/>
      <c r="D107" s="106"/>
      <c r="E107" s="67"/>
      <c r="F107" s="67"/>
      <c r="G107" s="2"/>
      <c r="H107" s="25"/>
      <c r="I107" s="67"/>
      <c r="J107" s="67"/>
      <c r="K107" s="25"/>
    </row>
    <row r="108" spans="1:13" ht="18" customHeight="1">
      <c r="A108" s="67"/>
      <c r="B108" s="69"/>
      <c r="C108" s="69"/>
      <c r="D108" s="106"/>
      <c r="E108" s="67"/>
      <c r="F108" s="67"/>
      <c r="G108" s="2"/>
      <c r="H108" s="25"/>
      <c r="I108" s="67"/>
      <c r="J108" s="67"/>
      <c r="K108" s="25"/>
    </row>
    <row r="109" spans="1:13" ht="18" customHeight="1">
      <c r="A109" s="67"/>
      <c r="B109" s="69"/>
      <c r="C109" s="69"/>
      <c r="D109" s="106"/>
      <c r="E109" s="67"/>
      <c r="F109" s="67"/>
      <c r="G109" s="2"/>
      <c r="H109" s="25"/>
      <c r="I109" s="67"/>
      <c r="J109" s="67"/>
      <c r="K109" s="25"/>
    </row>
    <row r="110" spans="1:13" ht="18" customHeight="1">
      <c r="A110" s="67"/>
      <c r="B110" s="69"/>
      <c r="C110" s="69"/>
      <c r="D110" s="106"/>
      <c r="E110" s="69"/>
      <c r="F110" s="69"/>
      <c r="G110" s="2"/>
      <c r="H110" s="26"/>
      <c r="I110" s="69"/>
      <c r="J110" s="69"/>
      <c r="K110" s="26"/>
    </row>
    <row r="111" spans="1:13" ht="18" customHeight="1">
      <c r="A111" s="67"/>
      <c r="B111" s="69"/>
      <c r="C111" s="69"/>
      <c r="D111" s="106"/>
      <c r="E111" s="69"/>
      <c r="F111" s="69"/>
      <c r="G111" s="2"/>
      <c r="H111" s="26"/>
      <c r="I111" s="69"/>
      <c r="J111" s="69"/>
      <c r="K111" s="26"/>
    </row>
    <row r="112" spans="1:13" ht="18" customHeight="1">
      <c r="A112" s="67"/>
      <c r="G112" s="2"/>
    </row>
    <row r="113" spans="1:7" ht="18" customHeight="1">
      <c r="A113" s="67"/>
      <c r="G113" s="2"/>
    </row>
    <row r="114" spans="1:7" ht="18" customHeight="1">
      <c r="A114" s="67"/>
      <c r="G114" s="2"/>
    </row>
    <row r="115" spans="1:7" ht="18" customHeight="1">
      <c r="A115" s="67"/>
      <c r="G115" s="2"/>
    </row>
    <row r="116" spans="1:7" ht="18" customHeight="1">
      <c r="A116" s="67"/>
      <c r="G116" s="2"/>
    </row>
    <row r="117" spans="1:7" ht="18" customHeight="1">
      <c r="A117" s="67"/>
      <c r="G117" s="2"/>
    </row>
    <row r="118" spans="1:7" ht="18" customHeight="1">
      <c r="A118" s="67"/>
      <c r="G118" s="2"/>
    </row>
    <row r="119" spans="1:7" ht="18" customHeight="1">
      <c r="A119" s="67"/>
      <c r="G119" s="2"/>
    </row>
    <row r="120" spans="1:7" ht="18" customHeight="1">
      <c r="A120" s="67"/>
      <c r="G120" s="2"/>
    </row>
    <row r="121" spans="1:7" ht="18" customHeight="1">
      <c r="A121" s="67"/>
      <c r="G121" s="2"/>
    </row>
    <row r="122" spans="1:7" ht="18" customHeight="1">
      <c r="A122" s="67"/>
      <c r="G122" s="2"/>
    </row>
    <row r="123" spans="1:7" ht="18" customHeight="1">
      <c r="A123" s="67"/>
      <c r="G123" s="2"/>
    </row>
    <row r="124" spans="1:7" ht="18" customHeight="1">
      <c r="A124" s="67"/>
      <c r="G124" s="2"/>
    </row>
    <row r="125" spans="1:7" ht="18" customHeight="1">
      <c r="A125" s="67"/>
      <c r="G125" s="2"/>
    </row>
    <row r="126" spans="1:7" ht="18" customHeight="1">
      <c r="A126" s="67"/>
      <c r="G126" s="2"/>
    </row>
    <row r="127" spans="1:7" ht="18" customHeight="1">
      <c r="A127" s="67"/>
      <c r="G127" s="2"/>
    </row>
    <row r="128" spans="1:7" ht="18" customHeight="1">
      <c r="A128" s="67"/>
      <c r="G128" s="2"/>
    </row>
    <row r="129" spans="1:7" ht="18" customHeight="1">
      <c r="A129" s="67"/>
      <c r="G129" s="2"/>
    </row>
    <row r="130" spans="1:7" ht="18" customHeight="1">
      <c r="A130" s="67"/>
      <c r="G130" s="2"/>
    </row>
    <row r="131" spans="1:7" ht="18" customHeight="1">
      <c r="A131" s="67"/>
      <c r="G131" s="2"/>
    </row>
    <row r="132" spans="1:7" ht="18" customHeight="1">
      <c r="A132" s="67"/>
      <c r="G132" s="2"/>
    </row>
    <row r="133" spans="1:7" ht="18" customHeight="1">
      <c r="A133" s="67"/>
      <c r="G133" s="2"/>
    </row>
    <row r="134" spans="1:7" ht="18" customHeight="1">
      <c r="A134" s="67"/>
      <c r="G134" s="2"/>
    </row>
    <row r="135" spans="1:7" ht="18" customHeight="1">
      <c r="A135" s="67"/>
      <c r="G135" s="2"/>
    </row>
    <row r="136" spans="1:7" ht="18" customHeight="1">
      <c r="A136" s="67"/>
      <c r="G136" s="2"/>
    </row>
    <row r="137" spans="1:7" ht="18" customHeight="1">
      <c r="A137" s="67"/>
      <c r="G137" s="2"/>
    </row>
    <row r="138" spans="1:7" ht="18" customHeight="1">
      <c r="A138" s="67"/>
      <c r="G138" s="2"/>
    </row>
    <row r="139" spans="1:7" ht="18" customHeight="1">
      <c r="A139" s="67"/>
      <c r="G139" s="2"/>
    </row>
    <row r="140" spans="1:7" ht="18" customHeight="1">
      <c r="A140" s="67"/>
      <c r="G140" s="2"/>
    </row>
    <row r="141" spans="1:7" ht="18" customHeight="1">
      <c r="A141" s="67"/>
      <c r="G141" s="2"/>
    </row>
    <row r="142" spans="1:7" ht="18" customHeight="1">
      <c r="A142" s="67"/>
      <c r="G142" s="2"/>
    </row>
    <row r="143" spans="1:7" ht="18" customHeight="1">
      <c r="A143" s="67"/>
      <c r="G143" s="2"/>
    </row>
    <row r="144" spans="1:7" ht="18" customHeight="1">
      <c r="A144" s="67"/>
      <c r="G144" s="2"/>
    </row>
    <row r="145" spans="1:7" ht="18" customHeight="1">
      <c r="A145" s="67"/>
      <c r="G145" s="2"/>
    </row>
    <row r="146" spans="1:7" ht="18" customHeight="1">
      <c r="A146" s="67"/>
      <c r="G146" s="2"/>
    </row>
    <row r="147" spans="1:7" ht="18" customHeight="1">
      <c r="A147" s="67"/>
      <c r="G147" s="2"/>
    </row>
    <row r="148" spans="1:7" ht="18" customHeight="1">
      <c r="A148" s="67"/>
      <c r="G148" s="2"/>
    </row>
    <row r="149" spans="1:7" ht="18" customHeight="1">
      <c r="A149" s="67"/>
      <c r="G149" s="2"/>
    </row>
    <row r="150" spans="1:7" ht="18" customHeight="1">
      <c r="A150" s="67"/>
      <c r="G150" s="2"/>
    </row>
    <row r="151" spans="1:7" ht="18" customHeight="1">
      <c r="A151" s="67"/>
      <c r="G151" s="2"/>
    </row>
    <row r="152" spans="1:7" ht="18" customHeight="1">
      <c r="A152" s="67"/>
      <c r="G152" s="2"/>
    </row>
    <row r="153" spans="1:7" ht="18" customHeight="1">
      <c r="A153" s="67"/>
      <c r="G153" s="2"/>
    </row>
    <row r="154" spans="1:7" ht="18" customHeight="1">
      <c r="A154" s="67"/>
      <c r="G154" s="2"/>
    </row>
    <row r="155" spans="1:7" ht="18" customHeight="1">
      <c r="A155" s="67"/>
      <c r="G155" s="2"/>
    </row>
    <row r="156" spans="1:7" ht="18" customHeight="1">
      <c r="A156" s="67"/>
      <c r="G156" s="2"/>
    </row>
    <row r="157" spans="1:7" ht="18" customHeight="1">
      <c r="A157" s="67"/>
      <c r="G157" s="2"/>
    </row>
    <row r="158" spans="1:7" ht="18" customHeight="1">
      <c r="A158" s="67"/>
      <c r="G158" s="2"/>
    </row>
    <row r="159" spans="1:7" ht="18" customHeight="1">
      <c r="A159" s="67"/>
      <c r="G159" s="2"/>
    </row>
    <row r="160" spans="1:7" ht="18" customHeight="1">
      <c r="A160" s="67"/>
      <c r="G160" s="2"/>
    </row>
    <row r="161" spans="1:7" ht="18" customHeight="1">
      <c r="A161" s="67"/>
      <c r="G161" s="2"/>
    </row>
    <row r="162" spans="1:7" ht="18" customHeight="1">
      <c r="A162" s="67"/>
      <c r="G162" s="2"/>
    </row>
    <row r="163" spans="1:7" ht="18" customHeight="1">
      <c r="A163" s="67"/>
      <c r="G163" s="2"/>
    </row>
    <row r="164" spans="1:7" ht="18" customHeight="1">
      <c r="A164" s="67"/>
      <c r="G164" s="2"/>
    </row>
    <row r="165" spans="1:7" ht="18" customHeight="1">
      <c r="A165" s="67"/>
      <c r="G165" s="2"/>
    </row>
    <row r="166" spans="1:7" ht="18" customHeight="1">
      <c r="A166" s="67"/>
      <c r="G166" s="2"/>
    </row>
    <row r="167" spans="1:7" ht="18" customHeight="1">
      <c r="A167" s="67"/>
      <c r="G167" s="2"/>
    </row>
    <row r="168" spans="1:7" ht="18" customHeight="1">
      <c r="A168" s="67"/>
      <c r="G168" s="2"/>
    </row>
    <row r="169" spans="1:7" ht="18" customHeight="1">
      <c r="A169" s="67"/>
      <c r="G169" s="2"/>
    </row>
    <row r="170" spans="1:7" ht="18" customHeight="1">
      <c r="A170" s="67"/>
      <c r="G170" s="2"/>
    </row>
    <row r="171" spans="1:7" ht="18" customHeight="1">
      <c r="A171" s="67"/>
      <c r="G171" s="2"/>
    </row>
    <row r="172" spans="1:7" ht="18" customHeight="1">
      <c r="A172" s="67"/>
      <c r="G172" s="2"/>
    </row>
    <row r="173" spans="1:7" ht="18" customHeight="1">
      <c r="A173" s="67"/>
      <c r="G173" s="2"/>
    </row>
    <row r="174" spans="1:7" ht="18" customHeight="1">
      <c r="A174" s="67"/>
      <c r="G174" s="2"/>
    </row>
    <row r="175" spans="1:7" ht="18" customHeight="1">
      <c r="A175" s="67"/>
      <c r="G175" s="2"/>
    </row>
    <row r="176" spans="1:7" ht="18" customHeight="1">
      <c r="A176" s="67"/>
      <c r="G176" s="2"/>
    </row>
    <row r="177" spans="1:7" ht="18" customHeight="1">
      <c r="A177" s="67"/>
      <c r="G177" s="2"/>
    </row>
    <row r="178" spans="1:7" ht="18" customHeight="1">
      <c r="A178" s="67"/>
      <c r="G178" s="2"/>
    </row>
    <row r="179" spans="1:7" ht="18" customHeight="1">
      <c r="A179" s="67"/>
      <c r="G179" s="2"/>
    </row>
    <row r="180" spans="1:7" ht="18" customHeight="1">
      <c r="A180" s="67"/>
      <c r="G180" s="2"/>
    </row>
    <row r="181" spans="1:7" ht="18" customHeight="1">
      <c r="A181" s="67"/>
      <c r="G181" s="2"/>
    </row>
    <row r="182" spans="1:7" ht="18" customHeight="1">
      <c r="A182" s="67"/>
      <c r="G182" s="2"/>
    </row>
    <row r="183" spans="1:7" ht="18" customHeight="1">
      <c r="A183" s="67"/>
      <c r="G183" s="2"/>
    </row>
    <row r="184" spans="1:7" ht="18" customHeight="1">
      <c r="A184" s="67"/>
      <c r="G184" s="2"/>
    </row>
    <row r="185" spans="1:7" ht="18" customHeight="1">
      <c r="A185" s="67"/>
      <c r="G185" s="2"/>
    </row>
    <row r="186" spans="1:7" ht="18" customHeight="1">
      <c r="A186" s="67"/>
      <c r="G186" s="2"/>
    </row>
    <row r="187" spans="1:7" ht="18" customHeight="1">
      <c r="A187" s="67"/>
      <c r="G187" s="2"/>
    </row>
    <row r="188" spans="1:7" ht="18" customHeight="1">
      <c r="A188" s="67"/>
      <c r="G188" s="2"/>
    </row>
    <row r="189" spans="1:7" ht="18" customHeight="1">
      <c r="A189" s="67"/>
      <c r="G189" s="2"/>
    </row>
    <row r="190" spans="1:7" ht="18" customHeight="1">
      <c r="A190" s="67"/>
      <c r="G190" s="2"/>
    </row>
    <row r="191" spans="1:7" ht="18" customHeight="1">
      <c r="A191" s="67"/>
      <c r="G191" s="2"/>
    </row>
    <row r="192" spans="1:7" ht="18" customHeight="1">
      <c r="A192" s="67"/>
      <c r="G192" s="2"/>
    </row>
    <row r="193" spans="1:7" ht="18" customHeight="1">
      <c r="A193" s="67"/>
      <c r="G193" s="2"/>
    </row>
    <row r="194" spans="1:7" ht="18" customHeight="1">
      <c r="A194" s="67"/>
      <c r="G194" s="2"/>
    </row>
    <row r="195" spans="1:7" ht="18" customHeight="1">
      <c r="A195" s="67"/>
      <c r="G195" s="2"/>
    </row>
    <row r="196" spans="1:7" ht="18" customHeight="1">
      <c r="A196" s="67"/>
      <c r="G196" s="2"/>
    </row>
    <row r="197" spans="1:7" ht="18" customHeight="1">
      <c r="A197" s="67"/>
      <c r="G197" s="2"/>
    </row>
    <row r="198" spans="1:7" ht="18" customHeight="1">
      <c r="A198" s="67"/>
      <c r="G198" s="2"/>
    </row>
    <row r="199" spans="1:7" ht="18" customHeight="1">
      <c r="A199" s="67"/>
      <c r="G199" s="2"/>
    </row>
    <row r="200" spans="1:7" ht="18" customHeight="1">
      <c r="A200" s="67"/>
      <c r="G200" s="2"/>
    </row>
    <row r="201" spans="1:7" ht="18" customHeight="1">
      <c r="A201" s="67"/>
      <c r="G201" s="2"/>
    </row>
    <row r="202" spans="1:7" ht="18" customHeight="1">
      <c r="A202" s="67"/>
      <c r="G202" s="2"/>
    </row>
    <row r="203" spans="1:7" ht="18" customHeight="1">
      <c r="A203" s="67"/>
      <c r="G203" s="2"/>
    </row>
    <row r="204" spans="1:7" ht="18" customHeight="1">
      <c r="A204" s="67"/>
      <c r="G204" s="2"/>
    </row>
    <row r="205" spans="1:7" ht="18" customHeight="1">
      <c r="A205" s="67"/>
      <c r="G205" s="2"/>
    </row>
    <row r="206" spans="1:7" ht="18" customHeight="1">
      <c r="A206" s="67"/>
      <c r="G206" s="2"/>
    </row>
    <row r="207" spans="1:7" ht="18" customHeight="1">
      <c r="A207" s="67"/>
      <c r="G207" s="2"/>
    </row>
    <row r="208" spans="1:7" ht="18" customHeight="1">
      <c r="A208" s="67"/>
      <c r="G208" s="2"/>
    </row>
    <row r="209" spans="1:1" ht="18" customHeight="1">
      <c r="A209" s="67"/>
    </row>
    <row r="210" spans="1:1" ht="18" customHeight="1">
      <c r="A210" s="67"/>
    </row>
    <row r="211" spans="1:1" ht="18" customHeight="1">
      <c r="A211" s="67"/>
    </row>
    <row r="212" spans="1:1" ht="18" customHeight="1">
      <c r="A212" s="67"/>
    </row>
    <row r="213" spans="1:1" ht="18" customHeight="1">
      <c r="A213" s="67"/>
    </row>
    <row r="214" spans="1:1" ht="18" customHeight="1">
      <c r="A214" s="67"/>
    </row>
    <row r="215" spans="1:1" ht="18" customHeight="1">
      <c r="A215" s="67"/>
    </row>
    <row r="216" spans="1:1" ht="18" customHeight="1">
      <c r="A216" s="67"/>
    </row>
    <row r="217" spans="1:1" ht="18" customHeight="1">
      <c r="A217" s="67"/>
    </row>
    <row r="218" spans="1:1" ht="18" customHeight="1">
      <c r="A218" s="67"/>
    </row>
    <row r="219" spans="1:1" ht="18" customHeight="1">
      <c r="A219" s="67"/>
    </row>
    <row r="220" spans="1:1" ht="18" customHeight="1">
      <c r="A220" s="67"/>
    </row>
    <row r="221" spans="1:1" ht="18" customHeight="1">
      <c r="A221" s="67"/>
    </row>
    <row r="222" spans="1:1" ht="18" customHeight="1">
      <c r="A222" s="67"/>
    </row>
    <row r="223" spans="1:1" ht="18" customHeight="1">
      <c r="A223" s="67"/>
    </row>
    <row r="224" spans="1:1" ht="18" customHeight="1">
      <c r="A224" s="67"/>
    </row>
    <row r="225" spans="1:1" ht="18" customHeight="1">
      <c r="A225" s="67"/>
    </row>
    <row r="226" spans="1:1" ht="18" customHeight="1">
      <c r="A226" s="67"/>
    </row>
    <row r="227" spans="1:1" ht="18" customHeight="1">
      <c r="A227" s="67"/>
    </row>
    <row r="228" spans="1:1" ht="18" customHeight="1">
      <c r="A228" s="67"/>
    </row>
    <row r="229" spans="1:1" ht="18" customHeight="1">
      <c r="A229" s="67"/>
    </row>
    <row r="230" spans="1:1" ht="18" customHeight="1">
      <c r="A230" s="67"/>
    </row>
    <row r="231" spans="1:1" ht="18" customHeight="1">
      <c r="A231" s="67"/>
    </row>
    <row r="232" spans="1:1" ht="18" customHeight="1">
      <c r="A232" s="67"/>
    </row>
    <row r="233" spans="1:1" ht="18" customHeight="1">
      <c r="A233" s="67"/>
    </row>
    <row r="234" spans="1:1" ht="18" customHeight="1">
      <c r="A234" s="67"/>
    </row>
    <row r="235" spans="1:1" ht="18" customHeight="1">
      <c r="A235" s="67"/>
    </row>
    <row r="236" spans="1:1" ht="18" customHeight="1">
      <c r="A236" s="67"/>
    </row>
    <row r="237" spans="1:1" ht="18" customHeight="1">
      <c r="A237" s="67"/>
    </row>
    <row r="238" spans="1:1" ht="18" customHeight="1">
      <c r="A238" s="67"/>
    </row>
    <row r="239" spans="1:1" ht="18" customHeight="1">
      <c r="A239" s="67"/>
    </row>
    <row r="240" spans="1:1" ht="18" customHeight="1">
      <c r="A240" s="67"/>
    </row>
    <row r="241" spans="1:1" ht="18" customHeight="1">
      <c r="A241" s="67"/>
    </row>
    <row r="242" spans="1:1" ht="18" customHeight="1">
      <c r="A242" s="67"/>
    </row>
    <row r="243" spans="1:1" ht="18" customHeight="1">
      <c r="A243" s="67"/>
    </row>
    <row r="244" spans="1:1" ht="18" customHeight="1">
      <c r="A244" s="67"/>
    </row>
    <row r="245" spans="1:1" ht="18" customHeight="1">
      <c r="A245" s="67"/>
    </row>
    <row r="246" spans="1:1" ht="18" customHeight="1">
      <c r="A246" s="67"/>
    </row>
    <row r="247" spans="1:1" ht="18" customHeight="1">
      <c r="A247" s="67"/>
    </row>
    <row r="248" spans="1:1" ht="18" customHeight="1">
      <c r="A248" s="67"/>
    </row>
    <row r="249" spans="1:1" ht="18" customHeight="1">
      <c r="A249" s="67"/>
    </row>
    <row r="250" spans="1:1" ht="18" customHeight="1">
      <c r="A250" s="67"/>
    </row>
    <row r="251" spans="1:1" ht="18" customHeight="1">
      <c r="A251" s="67"/>
    </row>
    <row r="252" spans="1:1" ht="18" customHeight="1">
      <c r="A252" s="67"/>
    </row>
    <row r="253" spans="1:1" ht="18" customHeight="1">
      <c r="A253" s="67"/>
    </row>
    <row r="254" spans="1:1" ht="18" customHeight="1">
      <c r="A254" s="67"/>
    </row>
    <row r="255" spans="1:1" ht="18" customHeight="1">
      <c r="A255" s="67"/>
    </row>
    <row r="256" spans="1:1" ht="18" customHeight="1">
      <c r="A256" s="67"/>
    </row>
    <row r="257" spans="1:1" ht="18" customHeight="1">
      <c r="A257" s="67"/>
    </row>
    <row r="258" spans="1:1" ht="18" customHeight="1">
      <c r="A258" s="67"/>
    </row>
    <row r="259" spans="1:1" ht="18" customHeight="1">
      <c r="A259" s="67"/>
    </row>
    <row r="260" spans="1:1" ht="18" customHeight="1">
      <c r="A260" s="67"/>
    </row>
    <row r="261" spans="1:1" ht="18" customHeight="1">
      <c r="A261" s="67"/>
    </row>
    <row r="262" spans="1:1" ht="18" customHeight="1">
      <c r="A262" s="67"/>
    </row>
    <row r="263" spans="1:1" ht="18" customHeight="1">
      <c r="A263" s="67"/>
    </row>
    <row r="264" spans="1:1" ht="18" customHeight="1">
      <c r="A264" s="67"/>
    </row>
    <row r="265" spans="1:1" ht="18" customHeight="1">
      <c r="A265" s="67"/>
    </row>
    <row r="266" spans="1:1" ht="18" customHeight="1">
      <c r="A266" s="67"/>
    </row>
    <row r="267" spans="1:1" ht="18" customHeight="1">
      <c r="A267" s="67"/>
    </row>
    <row r="268" spans="1:1" ht="18" customHeight="1">
      <c r="A268" s="67"/>
    </row>
    <row r="269" spans="1:1" ht="18" customHeight="1">
      <c r="A269" s="67"/>
    </row>
    <row r="270" spans="1:1" ht="18" customHeight="1">
      <c r="A270" s="67"/>
    </row>
    <row r="271" spans="1:1" ht="18" customHeight="1">
      <c r="A271" s="67"/>
    </row>
    <row r="272" spans="1:1" ht="18" customHeight="1">
      <c r="A272" s="67"/>
    </row>
    <row r="273" spans="1:1" ht="18" customHeight="1">
      <c r="A273" s="67"/>
    </row>
    <row r="274" spans="1:1" ht="18" customHeight="1">
      <c r="A274" s="67"/>
    </row>
    <row r="275" spans="1:1" ht="18" customHeight="1">
      <c r="A275" s="67"/>
    </row>
    <row r="276" spans="1:1" ht="18" customHeight="1">
      <c r="A276" s="67"/>
    </row>
    <row r="277" spans="1:1" ht="18" customHeight="1">
      <c r="A277" s="67"/>
    </row>
    <row r="278" spans="1:1" ht="18" customHeight="1">
      <c r="A278" s="67"/>
    </row>
    <row r="279" spans="1:1" ht="18" customHeight="1">
      <c r="A279" s="67"/>
    </row>
    <row r="280" spans="1:1" ht="18" customHeight="1">
      <c r="A280" s="67"/>
    </row>
    <row r="281" spans="1:1" ht="18" customHeight="1">
      <c r="A281" s="67"/>
    </row>
    <row r="282" spans="1:1" ht="18" customHeight="1">
      <c r="A282" s="67"/>
    </row>
    <row r="283" spans="1:1" ht="18" customHeight="1">
      <c r="A283" s="67"/>
    </row>
    <row r="284" spans="1:1" ht="18" customHeight="1">
      <c r="A284" s="67"/>
    </row>
    <row r="285" spans="1:1" ht="18" customHeight="1">
      <c r="A285" s="67"/>
    </row>
    <row r="286" spans="1:1" ht="18" customHeight="1">
      <c r="A286" s="67"/>
    </row>
    <row r="287" spans="1:1" ht="18" customHeight="1">
      <c r="A287" s="67"/>
    </row>
    <row r="288" spans="1:1" ht="18" customHeight="1">
      <c r="A288" s="67"/>
    </row>
    <row r="289" spans="1:1" ht="18" customHeight="1">
      <c r="A289" s="67"/>
    </row>
    <row r="290" spans="1:1" ht="18" customHeight="1">
      <c r="A290" s="67"/>
    </row>
    <row r="291" spans="1:1" ht="18" customHeight="1">
      <c r="A291" s="67"/>
    </row>
    <row r="292" spans="1:1" ht="18" customHeight="1">
      <c r="A292" s="67"/>
    </row>
    <row r="293" spans="1:1" ht="18" customHeight="1">
      <c r="A293" s="67"/>
    </row>
    <row r="294" spans="1:1" ht="18" customHeight="1">
      <c r="A294" s="67"/>
    </row>
    <row r="295" spans="1:1" ht="18" customHeight="1">
      <c r="A295" s="67"/>
    </row>
    <row r="296" spans="1:1" ht="18" customHeight="1">
      <c r="A296" s="67"/>
    </row>
    <row r="297" spans="1:1" ht="18" customHeight="1">
      <c r="A297" s="67"/>
    </row>
    <row r="298" spans="1:1" ht="18" customHeight="1">
      <c r="A298" s="67"/>
    </row>
    <row r="299" spans="1:1" ht="18" customHeight="1">
      <c r="A299" s="67"/>
    </row>
    <row r="300" spans="1:1" ht="18" customHeight="1">
      <c r="A300" s="67"/>
    </row>
    <row r="301" spans="1:1" ht="18" customHeight="1">
      <c r="A301" s="67"/>
    </row>
    <row r="302" spans="1:1" ht="18" customHeight="1">
      <c r="A302" s="67"/>
    </row>
    <row r="303" spans="1:1" ht="18" customHeight="1">
      <c r="A303" s="67"/>
    </row>
    <row r="304" spans="1:1" ht="18" customHeight="1">
      <c r="A304" s="67"/>
    </row>
    <row r="305" spans="1:1" ht="18" customHeight="1">
      <c r="A305" s="67"/>
    </row>
    <row r="306" spans="1:1" ht="18" customHeight="1">
      <c r="A306" s="67"/>
    </row>
    <row r="307" spans="1:1" ht="18" customHeight="1">
      <c r="A307" s="67"/>
    </row>
    <row r="308" spans="1:1" ht="18" customHeight="1">
      <c r="A308" s="67"/>
    </row>
    <row r="309" spans="1:1" ht="18" customHeight="1">
      <c r="A309" s="67"/>
    </row>
    <row r="310" spans="1:1" ht="18" customHeight="1">
      <c r="A310" s="67"/>
    </row>
    <row r="311" spans="1:1" ht="18" customHeight="1">
      <c r="A311" s="67"/>
    </row>
    <row r="312" spans="1:1" ht="18" customHeight="1">
      <c r="A312" s="67"/>
    </row>
    <row r="313" spans="1:1" ht="18" customHeight="1">
      <c r="A313" s="67"/>
    </row>
    <row r="314" spans="1:1" ht="18" customHeight="1">
      <c r="A314" s="67"/>
    </row>
    <row r="315" spans="1:1" ht="18" customHeight="1">
      <c r="A315" s="67"/>
    </row>
    <row r="316" spans="1:1" ht="18" customHeight="1">
      <c r="A316" s="67"/>
    </row>
    <row r="317" spans="1:1" ht="18" customHeight="1">
      <c r="A317" s="67"/>
    </row>
    <row r="318" spans="1:1" ht="18" customHeight="1">
      <c r="A318" s="67"/>
    </row>
    <row r="319" spans="1:1" ht="18" customHeight="1">
      <c r="A319" s="67"/>
    </row>
    <row r="320" spans="1:1" ht="18" customHeight="1">
      <c r="A320" s="67"/>
    </row>
    <row r="321" spans="1:1" ht="18" customHeight="1">
      <c r="A321" s="67"/>
    </row>
    <row r="322" spans="1:1" ht="18" customHeight="1">
      <c r="A322" s="67"/>
    </row>
    <row r="323" spans="1:1" ht="18" customHeight="1">
      <c r="A323" s="67"/>
    </row>
    <row r="324" spans="1:1" ht="18" customHeight="1">
      <c r="A324" s="67"/>
    </row>
    <row r="325" spans="1:1" ht="18" customHeight="1">
      <c r="A325" s="67"/>
    </row>
    <row r="326" spans="1:1" ht="18" customHeight="1">
      <c r="A326" s="67"/>
    </row>
    <row r="327" spans="1:1" ht="18" customHeight="1">
      <c r="A327" s="67"/>
    </row>
    <row r="328" spans="1:1" ht="18" customHeight="1">
      <c r="A328" s="67"/>
    </row>
    <row r="329" spans="1:1" ht="18" customHeight="1">
      <c r="A329" s="67"/>
    </row>
    <row r="330" spans="1:1" ht="18" customHeight="1">
      <c r="A330" s="67"/>
    </row>
    <row r="331" spans="1:1" ht="18" customHeight="1">
      <c r="A331" s="67"/>
    </row>
    <row r="332" spans="1:1" ht="18" customHeight="1">
      <c r="A332" s="67"/>
    </row>
    <row r="333" spans="1:1" ht="18" customHeight="1">
      <c r="A333" s="67"/>
    </row>
    <row r="334" spans="1:1" ht="18" customHeight="1">
      <c r="A334" s="67"/>
    </row>
    <row r="335" spans="1:1" ht="18" customHeight="1">
      <c r="A335" s="67"/>
    </row>
    <row r="336" spans="1:1" ht="18" customHeight="1">
      <c r="A336" s="67"/>
    </row>
    <row r="337" spans="1:1" ht="18" customHeight="1">
      <c r="A337" s="67"/>
    </row>
    <row r="338" spans="1:1" ht="18" customHeight="1">
      <c r="A338" s="67"/>
    </row>
    <row r="339" spans="1:1" ht="18" customHeight="1">
      <c r="A339" s="67"/>
    </row>
    <row r="340" spans="1:1" ht="18" customHeight="1">
      <c r="A340" s="67"/>
    </row>
    <row r="341" spans="1:1" ht="18" customHeight="1">
      <c r="A341" s="67"/>
    </row>
    <row r="342" spans="1:1" ht="18" customHeight="1">
      <c r="A342" s="67"/>
    </row>
    <row r="343" spans="1:1" ht="18" customHeight="1">
      <c r="A343" s="67"/>
    </row>
    <row r="344" spans="1:1" ht="18" customHeight="1">
      <c r="A344" s="67"/>
    </row>
    <row r="345" spans="1:1" ht="18" customHeight="1">
      <c r="A345" s="67"/>
    </row>
    <row r="346" spans="1:1" ht="18" customHeight="1">
      <c r="A346" s="67"/>
    </row>
    <row r="347" spans="1:1" ht="18" customHeight="1">
      <c r="A347" s="67"/>
    </row>
    <row r="348" spans="1:1" ht="18" customHeight="1">
      <c r="A348" s="67"/>
    </row>
    <row r="349" spans="1:1" ht="18" customHeight="1">
      <c r="A349" s="67"/>
    </row>
    <row r="350" spans="1:1" ht="18" customHeight="1">
      <c r="A350" s="67"/>
    </row>
    <row r="351" spans="1:1" ht="18" customHeight="1">
      <c r="A351" s="67"/>
    </row>
    <row r="352" spans="1:1" ht="18" customHeight="1">
      <c r="A352" s="67"/>
    </row>
    <row r="353" spans="1:1" ht="18" customHeight="1">
      <c r="A353" s="67"/>
    </row>
    <row r="354" spans="1:1" ht="18" customHeight="1">
      <c r="A354" s="67"/>
    </row>
    <row r="355" spans="1:1" ht="18" customHeight="1">
      <c r="A355" s="67"/>
    </row>
    <row r="356" spans="1:1" ht="18" customHeight="1">
      <c r="A356" s="67"/>
    </row>
    <row r="357" spans="1:1" ht="18" customHeight="1">
      <c r="A357" s="67"/>
    </row>
    <row r="358" spans="1:1" ht="18" customHeight="1">
      <c r="A358" s="67"/>
    </row>
    <row r="359" spans="1:1" ht="18" customHeight="1">
      <c r="A359" s="67"/>
    </row>
    <row r="360" spans="1:1" ht="18" customHeight="1">
      <c r="A360" s="67"/>
    </row>
    <row r="361" spans="1:1" ht="18" customHeight="1">
      <c r="A361" s="67"/>
    </row>
    <row r="362" spans="1:1" ht="18" customHeight="1">
      <c r="A362" s="67"/>
    </row>
    <row r="363" spans="1:1" ht="18" customHeight="1">
      <c r="A363" s="67"/>
    </row>
    <row r="364" spans="1:1" ht="18" customHeight="1">
      <c r="A364" s="67"/>
    </row>
    <row r="365" spans="1:1" ht="18" customHeight="1">
      <c r="A365" s="67"/>
    </row>
    <row r="366" spans="1:1" ht="18" customHeight="1">
      <c r="A366" s="67"/>
    </row>
    <row r="367" spans="1:1" ht="18" customHeight="1">
      <c r="A367" s="67"/>
    </row>
    <row r="368" spans="1:1" ht="18" customHeight="1">
      <c r="A368" s="67"/>
    </row>
    <row r="369" spans="1:1" ht="18" customHeight="1">
      <c r="A369" s="67"/>
    </row>
    <row r="370" spans="1:1" ht="18" customHeight="1">
      <c r="A370" s="6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BC0D-3101-4BD4-A0F5-391F62944367}">
  <dimension ref="A1:AE346"/>
  <sheetViews>
    <sheetView zoomScale="55" zoomScaleNormal="55" workbookViewId="0">
      <pane ySplit="1" topLeftCell="A2" activePane="bottomLeft" state="frozen"/>
      <selection pane="bottomLeft" activeCell="J28" sqref="J28"/>
    </sheetView>
  </sheetViews>
  <sheetFormatPr baseColWidth="10" defaultColWidth="9.1640625" defaultRowHeight="18" customHeight="1"/>
  <cols>
    <col min="1" max="1" width="13.75" style="64" customWidth="1"/>
    <col min="2" max="2" width="15" style="63" customWidth="1"/>
    <col min="3" max="3" width="10.1640625" style="63" customWidth="1"/>
    <col min="4" max="4" width="11.4140625" style="95" customWidth="1"/>
    <col min="5" max="5" width="19.1640625" style="63" customWidth="1"/>
    <col min="6" max="6" width="37.75" style="63" customWidth="1"/>
    <col min="7" max="7" width="20.58203125" style="95" customWidth="1"/>
    <col min="8" max="8" width="21.1640625" style="27" customWidth="1"/>
    <col min="9" max="9" width="20.75" style="63" customWidth="1"/>
    <col min="10" max="10" width="44.1640625" style="63" customWidth="1"/>
    <col min="11" max="11" width="12.75" style="27" customWidth="1"/>
    <col min="12" max="12" width="9.1640625" style="70" customWidth="1"/>
    <col min="13" max="13" width="180.75" style="63" customWidth="1"/>
    <col min="14" max="14" width="14.75" style="63" customWidth="1"/>
    <col min="15" max="15" width="11.75" style="63" customWidth="1"/>
    <col min="16" max="31" width="11.75" style="64" customWidth="1"/>
    <col min="32" max="16384" width="9.1640625" style="64"/>
  </cols>
  <sheetData>
    <row r="1" spans="1:31" s="45" customFormat="1" ht="18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/>
      <c r="H1" s="43" t="s">
        <v>6</v>
      </c>
      <c r="I1" s="42" t="s">
        <v>7</v>
      </c>
      <c r="J1" s="42" t="s">
        <v>8</v>
      </c>
      <c r="K1" s="42" t="s">
        <v>9</v>
      </c>
      <c r="L1" s="44" t="s">
        <v>10</v>
      </c>
      <c r="M1" s="42" t="s">
        <v>11</v>
      </c>
    </row>
    <row r="2" spans="1:31" s="50" customFormat="1" ht="18" customHeight="1">
      <c r="A2" s="46" t="s">
        <v>12</v>
      </c>
      <c r="B2" s="12">
        <v>45612</v>
      </c>
      <c r="C2" s="12" t="s">
        <v>13</v>
      </c>
      <c r="D2" s="93" t="s">
        <v>14</v>
      </c>
      <c r="E2" s="47" t="s">
        <v>15</v>
      </c>
      <c r="F2" s="46" t="s">
        <v>16</v>
      </c>
      <c r="G2" s="93" t="s">
        <v>17</v>
      </c>
      <c r="H2" s="28">
        <v>8115165656</v>
      </c>
      <c r="I2" s="46" t="s">
        <v>18</v>
      </c>
      <c r="J2" s="46" t="s">
        <v>19</v>
      </c>
      <c r="K2" s="20" t="s">
        <v>20</v>
      </c>
      <c r="L2" s="48" t="s">
        <v>21</v>
      </c>
      <c r="M2" s="12" t="str">
        <f>CONCATENATE("CLIENTE ", F2," ",J2, "VENDEDOR BENJAMIN SALAZAR SUPERVISOR JOSE IGNACIO QUEVEDO CASTILLO ")</f>
        <v xml:space="preserve">CLIENTE JOSE LUIS GONZALEZ ANCIRA disney $219 VENDEDOR BENJAMIN SALAZAR SUPERVISOR JOSE IGNACIO QUEVEDO CASTILLO </v>
      </c>
      <c r="N2" s="49"/>
      <c r="O2" s="49"/>
    </row>
    <row r="3" spans="1:31" s="50" customFormat="1" ht="18" customHeight="1">
      <c r="A3" s="46" t="s">
        <v>36</v>
      </c>
      <c r="B3" s="12">
        <v>45614</v>
      </c>
      <c r="C3" s="12" t="s">
        <v>13</v>
      </c>
      <c r="D3" s="93" t="s">
        <v>37</v>
      </c>
      <c r="E3" s="47" t="s">
        <v>38</v>
      </c>
      <c r="F3" s="47" t="s">
        <v>39</v>
      </c>
      <c r="G3" s="93" t="s">
        <v>40</v>
      </c>
      <c r="H3" s="28" t="s">
        <v>41</v>
      </c>
      <c r="I3" s="47" t="s">
        <v>42</v>
      </c>
      <c r="J3" s="47" t="s">
        <v>43</v>
      </c>
      <c r="K3" s="20" t="s">
        <v>20</v>
      </c>
      <c r="L3" s="48" t="s">
        <v>21</v>
      </c>
      <c r="M3" s="12" t="str">
        <f t="shared" ref="M3:M19" si="0">CONCATENATE("CLIENTE ", F3," ",J3, "VENDEDOR BENJAMIN SALAZAR SUPERVISOR JOSE IGNACIO QUEVEDO CASTILLO ")</f>
        <v xml:space="preserve">CLIENTE JUAN CARLOS QUIROZ TORRES NETFLIX 4S VENDEDOR BENJAMIN SALAZAR SUPERVISOR JOSE IGNACIO QUEVEDO CASTILLO </v>
      </c>
      <c r="N3" s="49"/>
      <c r="O3" s="49"/>
    </row>
    <row r="4" spans="1:31" s="57" customFormat="1" ht="18" customHeight="1">
      <c r="A4" s="46" t="s">
        <v>148</v>
      </c>
      <c r="B4" s="12">
        <v>45625</v>
      </c>
      <c r="C4" s="46" t="s">
        <v>53</v>
      </c>
      <c r="D4" s="94">
        <v>33974955</v>
      </c>
      <c r="E4" s="46" t="s">
        <v>149</v>
      </c>
      <c r="F4" s="46" t="s">
        <v>150</v>
      </c>
      <c r="G4" s="94" t="s">
        <v>151</v>
      </c>
      <c r="H4" s="20">
        <v>6862344840</v>
      </c>
      <c r="I4" s="46" t="s">
        <v>152</v>
      </c>
      <c r="J4" s="46" t="s">
        <v>153</v>
      </c>
      <c r="K4" s="20" t="s">
        <v>20</v>
      </c>
      <c r="L4" s="48" t="s">
        <v>21</v>
      </c>
      <c r="M4" s="12" t="str">
        <f t="shared" si="0"/>
        <v xml:space="preserve">CLIENTE JUAN DAVID FERREIRA MENDEZ Universal+ Paramount+ Golden PROMOCION DE 1 MES VENDEDOR BENJAMIN SALAZAR SUPERVISOR JOSE IGNACIO QUEVEDO CASTILLO </v>
      </c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s="53" customFormat="1" ht="18" customHeight="1">
      <c r="A5" s="46" t="s">
        <v>154</v>
      </c>
      <c r="B5" s="12">
        <v>45625</v>
      </c>
      <c r="C5" s="46" t="s">
        <v>53</v>
      </c>
      <c r="D5" s="94" t="s">
        <v>143</v>
      </c>
      <c r="E5" s="46" t="s">
        <v>155</v>
      </c>
      <c r="F5" s="46" t="s">
        <v>145</v>
      </c>
      <c r="G5" s="94" t="s">
        <v>146</v>
      </c>
      <c r="H5" s="20">
        <v>7227753535</v>
      </c>
      <c r="I5" s="46" t="s">
        <v>156</v>
      </c>
      <c r="J5" s="46" t="s">
        <v>153</v>
      </c>
      <c r="K5" s="20" t="s">
        <v>20</v>
      </c>
      <c r="L5" s="48" t="s">
        <v>21</v>
      </c>
      <c r="M5" s="12" t="str">
        <f t="shared" si="0"/>
        <v xml:space="preserve">CLIENTE VANIA FABIOLA ALVAREZ AGUILAR Universal+ Paramount+ Golden PROMOCION DE 1 MES VENDEDOR BENJAMIN SALAZAR SUPERVISOR JOSE IGNACIO QUEVEDO CASTILLO </v>
      </c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s="57" customFormat="1" ht="18" customHeight="1">
      <c r="A6" s="46" t="s">
        <v>166</v>
      </c>
      <c r="B6" s="12">
        <v>45625</v>
      </c>
      <c r="C6" s="46" t="s">
        <v>13</v>
      </c>
      <c r="D6" s="94">
        <v>42710526</v>
      </c>
      <c r="E6" s="46" t="s">
        <v>167</v>
      </c>
      <c r="F6" s="46" t="s">
        <v>168</v>
      </c>
      <c r="G6" s="94" t="s">
        <v>169</v>
      </c>
      <c r="H6" s="20" t="s">
        <v>170</v>
      </c>
      <c r="I6" s="46" t="s">
        <v>171</v>
      </c>
      <c r="J6" s="46" t="s">
        <v>153</v>
      </c>
      <c r="K6" s="20" t="s">
        <v>20</v>
      </c>
      <c r="L6" s="20" t="s">
        <v>21</v>
      </c>
      <c r="M6" s="12" t="str">
        <f t="shared" si="0"/>
        <v xml:space="preserve">CLIENTE RUBEN ORTIZ REQUENA Universal+ Paramount+ Golden PROMOCION DE 1 MES VENDEDOR BENJAMIN SALAZAR SUPERVISOR JOSE IGNACIO QUEVEDO CASTILLO 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s="57" customFormat="1" ht="18" customHeight="1">
      <c r="A7" s="46" t="s">
        <v>180</v>
      </c>
      <c r="B7" s="18">
        <v>45625</v>
      </c>
      <c r="C7" s="46" t="s">
        <v>53</v>
      </c>
      <c r="D7" s="94" t="s">
        <v>177</v>
      </c>
      <c r="E7" s="46" t="s">
        <v>172</v>
      </c>
      <c r="F7" s="46" t="s">
        <v>173</v>
      </c>
      <c r="G7" s="94" t="s">
        <v>174</v>
      </c>
      <c r="H7" s="20" t="s">
        <v>175</v>
      </c>
      <c r="I7" s="46" t="s">
        <v>176</v>
      </c>
      <c r="J7" s="46" t="s">
        <v>153</v>
      </c>
      <c r="K7" s="20" t="s">
        <v>20</v>
      </c>
      <c r="L7" s="20" t="s">
        <v>21</v>
      </c>
      <c r="M7" s="12" t="str">
        <f t="shared" si="0"/>
        <v xml:space="preserve">CLIENTE CARLOS HERNANDEZ HERNANDEZ Universal+ Paramount+ Golden PROMOCION DE 1 MES VENDEDOR BENJAMIN SALAZAR SUPERVISOR JOSE IGNACIO QUEVEDO CASTILLO </v>
      </c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s="50" customFormat="1" ht="18" customHeight="1">
      <c r="A8" s="46" t="s">
        <v>230</v>
      </c>
      <c r="B8" s="12">
        <v>45630</v>
      </c>
      <c r="C8" s="46" t="s">
        <v>205</v>
      </c>
      <c r="D8" s="94">
        <v>37388017</v>
      </c>
      <c r="E8" s="47" t="s">
        <v>231</v>
      </c>
      <c r="F8" s="46" t="s">
        <v>232</v>
      </c>
      <c r="G8" s="94" t="s">
        <v>17</v>
      </c>
      <c r="H8" s="20" t="s">
        <v>233</v>
      </c>
      <c r="I8" s="46" t="s">
        <v>234</v>
      </c>
      <c r="J8" s="46" t="s">
        <v>153</v>
      </c>
      <c r="K8" s="20" t="s">
        <v>20</v>
      </c>
      <c r="L8" s="20" t="s">
        <v>21</v>
      </c>
      <c r="M8" s="12" t="str">
        <f t="shared" si="0"/>
        <v xml:space="preserve">CLIENTE NORIS ZURITA ACCENT Universal+ Paramount+ Golden PROMOCION DE 1 MES VENDEDOR BENJAMIN SALAZAR SUPERVISOR JOSE IGNACIO QUEVEDO CASTILLO </v>
      </c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s="50" customFormat="1" ht="18.75" customHeight="1">
      <c r="A9" s="46" t="s">
        <v>242</v>
      </c>
      <c r="B9" s="12">
        <v>45631</v>
      </c>
      <c r="C9" s="47" t="s">
        <v>53</v>
      </c>
      <c r="D9" s="93" t="s">
        <v>243</v>
      </c>
      <c r="E9" s="47" t="s">
        <v>244</v>
      </c>
      <c r="F9" s="47" t="s">
        <v>245</v>
      </c>
      <c r="G9" s="93" t="s">
        <v>246</v>
      </c>
      <c r="H9" s="28" t="s">
        <v>247</v>
      </c>
      <c r="I9" s="47" t="s">
        <v>248</v>
      </c>
      <c r="J9" s="47" t="s">
        <v>153</v>
      </c>
      <c r="K9" s="28" t="s">
        <v>20</v>
      </c>
      <c r="L9" s="20" t="s">
        <v>21</v>
      </c>
      <c r="M9" s="12" t="str">
        <f t="shared" si="0"/>
        <v xml:space="preserve">CLIENTE JAVIER BARRERA Universal+ Paramount+ Golden PROMOCION DE 1 MES VENDEDOR BENJAMIN SALAZAR SUPERVISOR JOSE IGNACIO QUEVEDO CASTILLO </v>
      </c>
      <c r="N9" s="49"/>
      <c r="O9" s="49"/>
    </row>
    <row r="10" spans="1:31" s="50" customFormat="1" ht="18.75" customHeight="1">
      <c r="A10" s="46" t="s">
        <v>249</v>
      </c>
      <c r="B10" s="12">
        <v>45631</v>
      </c>
      <c r="C10" s="46" t="s">
        <v>205</v>
      </c>
      <c r="D10" s="94">
        <v>43171233</v>
      </c>
      <c r="E10" s="93" t="s">
        <v>250</v>
      </c>
      <c r="F10" s="46" t="s">
        <v>251</v>
      </c>
      <c r="G10" s="94" t="s">
        <v>252</v>
      </c>
      <c r="H10" s="20" t="s">
        <v>253</v>
      </c>
      <c r="I10" s="46" t="s">
        <v>254</v>
      </c>
      <c r="J10" s="46" t="s">
        <v>153</v>
      </c>
      <c r="K10" s="20" t="s">
        <v>20</v>
      </c>
      <c r="L10" s="20" t="s">
        <v>21</v>
      </c>
      <c r="M10" s="12" t="str">
        <f t="shared" si="0"/>
        <v xml:space="preserve">CLIENTE NORMA ALICIA AVENA VILLELA seguimiento movil Universal+ Paramount+ Golden PROMOCION DE 1 MES VENDEDOR BENJAMIN SALAZAR SUPERVISOR JOSE IGNACIO QUEVEDO CASTILLO 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s="50" customFormat="1" ht="18.75" customHeight="1">
      <c r="A11" s="46" t="s">
        <v>261</v>
      </c>
      <c r="B11" s="12">
        <v>45632</v>
      </c>
      <c r="C11" s="46" t="s">
        <v>205</v>
      </c>
      <c r="D11" s="94">
        <v>37070315</v>
      </c>
      <c r="E11" s="47" t="s">
        <v>262</v>
      </c>
      <c r="F11" s="46" t="s">
        <v>263</v>
      </c>
      <c r="G11" s="94" t="s">
        <v>264</v>
      </c>
      <c r="H11" s="20" t="s">
        <v>265</v>
      </c>
      <c r="I11" s="46" t="s">
        <v>266</v>
      </c>
      <c r="J11" s="46" t="s">
        <v>153</v>
      </c>
      <c r="K11" s="20" t="s">
        <v>20</v>
      </c>
      <c r="L11" s="20" t="s">
        <v>21</v>
      </c>
      <c r="M11" s="12" t="str">
        <f t="shared" si="0"/>
        <v xml:space="preserve">CLIENTE NORMA ALEJANDRA GODOY GOMEZ Universal+ Paramount+ Golden PROMOCION DE 1 MES VENDEDOR BENJAMIN SALAZAR SUPERVISOR JOSE IGNACIO QUEVEDO CASTILLO 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 spans="1:31" s="50" customFormat="1" ht="18.75" customHeight="1">
      <c r="A12" s="46" t="s">
        <v>267</v>
      </c>
      <c r="B12" s="12">
        <v>45632</v>
      </c>
      <c r="C12" s="46" t="s">
        <v>205</v>
      </c>
      <c r="D12" s="94">
        <v>34304879</v>
      </c>
      <c r="E12" s="47" t="s">
        <v>268</v>
      </c>
      <c r="F12" s="46" t="s">
        <v>269</v>
      </c>
      <c r="G12" s="94" t="s">
        <v>270</v>
      </c>
      <c r="H12" s="20" t="s">
        <v>271</v>
      </c>
      <c r="I12" s="46" t="s">
        <v>272</v>
      </c>
      <c r="J12" s="46" t="s">
        <v>153</v>
      </c>
      <c r="K12" s="20" t="s">
        <v>20</v>
      </c>
      <c r="L12" s="20" t="s">
        <v>21</v>
      </c>
      <c r="M12" s="12" t="str">
        <f t="shared" si="0"/>
        <v xml:space="preserve">CLIENTE BERENICE FUENTES MONTAÑO Universal+ Paramount+ Golden PROMOCION DE 1 MES VENDEDOR BENJAMIN SALAZAR SUPERVISOR JOSE IGNACIO QUEVEDO CASTILLO </v>
      </c>
      <c r="N12" s="49"/>
      <c r="O12" s="49"/>
    </row>
    <row r="13" spans="1:31" s="50" customFormat="1" ht="18.5" customHeight="1">
      <c r="A13" s="46" t="s">
        <v>273</v>
      </c>
      <c r="B13" s="12">
        <v>45632</v>
      </c>
      <c r="C13" s="46" t="s">
        <v>205</v>
      </c>
      <c r="D13" s="94">
        <v>24362832</v>
      </c>
      <c r="E13" s="46" t="s">
        <v>274</v>
      </c>
      <c r="F13" s="46" t="s">
        <v>275</v>
      </c>
      <c r="G13" s="94" t="s">
        <v>17</v>
      </c>
      <c r="H13" s="20" t="s">
        <v>276</v>
      </c>
      <c r="I13" s="46" t="s">
        <v>277</v>
      </c>
      <c r="J13" s="46" t="s">
        <v>153</v>
      </c>
      <c r="K13" s="20" t="s">
        <v>20</v>
      </c>
      <c r="L13" s="20" t="s">
        <v>21</v>
      </c>
      <c r="M13" s="12" t="str">
        <f t="shared" si="0"/>
        <v xml:space="preserve">CLIENTE JORGE ALBERTO GAYTAN VAZQUEZ Universal+ Paramount+ Golden PROMOCION DE 1 MES VENDEDOR BENJAMIN SALAZAR SUPERVISOR JOSE IGNACIO QUEVEDO CASTILLO </v>
      </c>
      <c r="N13" s="49"/>
      <c r="O13" s="49"/>
    </row>
    <row r="14" spans="1:31" s="50" customFormat="1" ht="18.75" customHeight="1">
      <c r="A14" s="46" t="s">
        <v>285</v>
      </c>
      <c r="B14" s="12">
        <v>45632</v>
      </c>
      <c r="C14" s="46" t="s">
        <v>53</v>
      </c>
      <c r="D14" s="94">
        <v>37743747</v>
      </c>
      <c r="E14" s="47" t="s">
        <v>280</v>
      </c>
      <c r="F14" s="46" t="s">
        <v>281</v>
      </c>
      <c r="G14" s="94" t="s">
        <v>282</v>
      </c>
      <c r="H14" s="20">
        <v>8129450591</v>
      </c>
      <c r="I14" s="46" t="s">
        <v>284</v>
      </c>
      <c r="J14" s="46" t="s">
        <v>153</v>
      </c>
      <c r="K14" s="20" t="s">
        <v>20</v>
      </c>
      <c r="L14" s="20" t="s">
        <v>21</v>
      </c>
      <c r="M14" s="12" t="str">
        <f t="shared" si="0"/>
        <v xml:space="preserve">CLIENTE ALEJANDRA SARAHI TAPIA ESPINOSA Universal+ Paramount+ Golden PROMOCION DE 1 MES VENDEDOR BENJAMIN SALAZAR SUPERVISOR JOSE IGNACIO QUEVEDO CASTILLO </v>
      </c>
      <c r="N14" s="49"/>
      <c r="O14" s="49"/>
    </row>
    <row r="15" spans="1:31" s="50" customFormat="1" ht="18.75" customHeight="1">
      <c r="A15" s="46" t="s">
        <v>286</v>
      </c>
      <c r="B15" s="12">
        <v>45632</v>
      </c>
      <c r="C15" s="46" t="s">
        <v>13</v>
      </c>
      <c r="D15" s="94">
        <v>17277617</v>
      </c>
      <c r="E15" s="47" t="s">
        <v>287</v>
      </c>
      <c r="F15" s="46" t="s">
        <v>288</v>
      </c>
      <c r="G15" s="94" t="s">
        <v>17</v>
      </c>
      <c r="H15" s="20">
        <v>5545218967</v>
      </c>
      <c r="I15" s="46" t="s">
        <v>289</v>
      </c>
      <c r="J15" s="46" t="s">
        <v>153</v>
      </c>
      <c r="K15" s="20" t="s">
        <v>20</v>
      </c>
      <c r="L15" s="20" t="s">
        <v>21</v>
      </c>
      <c r="M15" s="12" t="str">
        <f t="shared" si="0"/>
        <v xml:space="preserve">CLIENTE OSWALDO MENDOZA RODRIGUEZ Universal+ Paramount+ Golden PROMOCION DE 1 MES VENDEDOR BENJAMIN SALAZAR SUPERVISOR JOSE IGNACIO QUEVEDO CASTILLO </v>
      </c>
      <c r="N15" s="49"/>
      <c r="O15" s="49"/>
    </row>
    <row r="16" spans="1:31" s="50" customFormat="1" ht="18.75" customHeight="1">
      <c r="A16" s="46" t="s">
        <v>290</v>
      </c>
      <c r="B16" s="12">
        <v>45632</v>
      </c>
      <c r="C16" s="46" t="s">
        <v>13</v>
      </c>
      <c r="D16" s="94">
        <v>25272117</v>
      </c>
      <c r="E16" s="93" t="s">
        <v>291</v>
      </c>
      <c r="F16" s="94" t="s">
        <v>292</v>
      </c>
      <c r="G16" s="94" t="s">
        <v>17</v>
      </c>
      <c r="H16" s="20">
        <v>5619198424</v>
      </c>
      <c r="I16" s="94" t="s">
        <v>293</v>
      </c>
      <c r="J16" s="94" t="s">
        <v>153</v>
      </c>
      <c r="K16" s="20" t="s">
        <v>20</v>
      </c>
      <c r="L16" s="20" t="s">
        <v>21</v>
      </c>
      <c r="M16" s="12" t="str">
        <f t="shared" si="0"/>
        <v xml:space="preserve">CLIENTE DELIA EVELIA RANGEL ESPINOSA Universal+ Paramount+ Golden PROMOCION DE 1 MES VENDEDOR BENJAMIN SALAZAR SUPERVISOR JOSE IGNACIO QUEVEDO CASTILLO </v>
      </c>
      <c r="N16" s="104"/>
      <c r="O16" s="49"/>
    </row>
    <row r="17" spans="1:31" s="50" customFormat="1" ht="18" customHeight="1">
      <c r="A17" s="46" t="s">
        <v>301</v>
      </c>
      <c r="B17" s="12">
        <v>45633</v>
      </c>
      <c r="C17" s="93" t="s">
        <v>13</v>
      </c>
      <c r="D17" s="93">
        <v>36410582</v>
      </c>
      <c r="E17" s="93" t="s">
        <v>296</v>
      </c>
      <c r="F17" s="93" t="s">
        <v>297</v>
      </c>
      <c r="G17" s="93" t="s">
        <v>17</v>
      </c>
      <c r="H17" s="28">
        <v>5625868953</v>
      </c>
      <c r="I17" s="93" t="s">
        <v>299</v>
      </c>
      <c r="J17" s="93" t="s">
        <v>153</v>
      </c>
      <c r="K17" s="20" t="s">
        <v>20</v>
      </c>
      <c r="L17" s="20" t="s">
        <v>21</v>
      </c>
      <c r="M17" s="12" t="str">
        <f t="shared" si="0"/>
        <v xml:space="preserve">CLIENTE EMANUEL LOBATO RUIZ  Universal+ Paramount+ Golden PROMOCION DE 1 MES VENDEDOR BENJAMIN SALAZAR SUPERVISOR JOSE IGNACIO QUEVEDO CASTILLO </v>
      </c>
      <c r="N17" s="104"/>
      <c r="O17" s="49"/>
    </row>
    <row r="18" spans="1:31" s="50" customFormat="1" ht="18.75" customHeight="1">
      <c r="A18" s="46" t="s">
        <v>309</v>
      </c>
      <c r="B18" s="12">
        <v>45634</v>
      </c>
      <c r="C18" s="93" t="s">
        <v>53</v>
      </c>
      <c r="D18" s="93" t="s">
        <v>303</v>
      </c>
      <c r="E18" s="93" t="s">
        <v>304</v>
      </c>
      <c r="F18" s="93" t="s">
        <v>305</v>
      </c>
      <c r="G18" s="93" t="s">
        <v>306</v>
      </c>
      <c r="H18" s="28" t="s">
        <v>307</v>
      </c>
      <c r="I18" s="93" t="s">
        <v>308</v>
      </c>
      <c r="J18" s="93" t="s">
        <v>310</v>
      </c>
      <c r="K18" s="28" t="s">
        <v>20</v>
      </c>
      <c r="L18" s="20" t="s">
        <v>21</v>
      </c>
      <c r="M18" s="12" t="str">
        <f t="shared" si="0"/>
        <v xml:space="preserve">CLIENTE ADELINA GOMEZ BAUTISTA Universal+ Paramount+ Golden  PROMO DE 1 MES VENDEDOR BENJAMIN SALAZAR SUPERVISOR JOSE IGNACIO QUEVEDO CASTILLO </v>
      </c>
      <c r="N18" s="49"/>
      <c r="O18" s="49"/>
    </row>
    <row r="19" spans="1:31" s="50" customFormat="1" ht="18.75" customHeight="1">
      <c r="A19" s="46" t="s">
        <v>317</v>
      </c>
      <c r="B19" s="12">
        <v>45634</v>
      </c>
      <c r="C19" s="93" t="s">
        <v>13</v>
      </c>
      <c r="D19" s="93" t="s">
        <v>312</v>
      </c>
      <c r="E19" s="93" t="s">
        <v>313</v>
      </c>
      <c r="F19" s="93" t="s">
        <v>314</v>
      </c>
      <c r="G19" s="93" t="s">
        <v>315</v>
      </c>
      <c r="H19" s="28">
        <v>9984766482</v>
      </c>
      <c r="I19" s="93" t="s">
        <v>316</v>
      </c>
      <c r="J19" s="93" t="s">
        <v>318</v>
      </c>
      <c r="K19" s="28" t="s">
        <v>20</v>
      </c>
      <c r="L19" s="20" t="s">
        <v>21</v>
      </c>
      <c r="M19" s="12" t="str">
        <f t="shared" si="0"/>
        <v xml:space="preserve">CLIENTE FERNANDO JONATHAN GERONIMO BERCHELT Universal+ Paramount+ Golden PROMO DE 1 MES VENDEDOR BENJAMIN SALAZAR SUPERVISOR JOSE IGNACIO QUEVEDO CASTILLO </v>
      </c>
      <c r="N19" s="49"/>
      <c r="O19" s="49"/>
    </row>
    <row r="20" spans="1:31" s="57" customFormat="1" ht="18" customHeight="1">
      <c r="A20" s="53" t="s">
        <v>319</v>
      </c>
      <c r="B20" s="6">
        <v>45635</v>
      </c>
      <c r="C20" s="7" t="s">
        <v>13</v>
      </c>
      <c r="D20" s="7" t="s">
        <v>320</v>
      </c>
      <c r="E20" s="7" t="s">
        <v>321</v>
      </c>
      <c r="F20" s="7" t="s">
        <v>322</v>
      </c>
      <c r="G20" s="7" t="s">
        <v>17</v>
      </c>
      <c r="H20" s="22" t="s">
        <v>323</v>
      </c>
      <c r="I20" s="7" t="s">
        <v>324</v>
      </c>
      <c r="J20" s="7" t="s">
        <v>318</v>
      </c>
      <c r="K20" s="22" t="s">
        <v>20</v>
      </c>
      <c r="L20" s="16" t="s">
        <v>21</v>
      </c>
      <c r="M20" s="15" t="str">
        <f>CONCATENATE("CLIENTE ", F20," ",J20, " VENDEDOR BENJAMIN SALAZAR SUPERVISOR JOSE IGNACIO QUEVEDO CASTILLO ")</f>
        <v xml:space="preserve">CLIENTE JOSE LUIS PUENTE MEDINA Universal+ Paramount+ Golden PROMO DE 1 MES  VENDEDOR BENJAMIN SALAZAR SUPERVISOR JOSE IGNACIO QUEVEDO CASTILLO </v>
      </c>
      <c r="N20" s="56"/>
      <c r="O20" s="56"/>
    </row>
    <row r="21" spans="1:31" s="57" customFormat="1" ht="18" customHeight="1">
      <c r="A21" s="53" t="s">
        <v>325</v>
      </c>
      <c r="B21" s="6">
        <v>45635</v>
      </c>
      <c r="C21" s="7" t="s">
        <v>13</v>
      </c>
      <c r="D21" s="7">
        <v>34317365</v>
      </c>
      <c r="E21" s="7" t="s">
        <v>326</v>
      </c>
      <c r="F21" s="7" t="s">
        <v>327</v>
      </c>
      <c r="G21" s="7" t="s">
        <v>17</v>
      </c>
      <c r="H21" s="22" t="s">
        <v>328</v>
      </c>
      <c r="I21" s="7" t="s">
        <v>329</v>
      </c>
      <c r="J21" s="7" t="s">
        <v>318</v>
      </c>
      <c r="K21" s="22" t="s">
        <v>20</v>
      </c>
      <c r="L21" s="16" t="s">
        <v>21</v>
      </c>
      <c r="M21" s="6" t="str">
        <f>CONCATENATE("CLIENTE ", F21," ",J21, " VENDEDOR BENJAMIN SALAZAR SUPERVISOR JOSE IGNACIO QUEVEDO CASTILLO ")</f>
        <v xml:space="preserve">CLIENTE DANIEL ALANIS SALAZAR Universal+ Paramount+ Golden PROMO DE 1 MES  VENDEDOR BENJAMIN SALAZAR SUPERVISOR JOSE IGNACIO QUEVEDO CASTILLO </v>
      </c>
      <c r="N21" s="56"/>
      <c r="O21" s="56"/>
    </row>
    <row r="22" spans="1:31" s="74" customFormat="1" ht="18" customHeight="1">
      <c r="A22" s="71" t="s">
        <v>337</v>
      </c>
      <c r="B22" s="6">
        <v>45635</v>
      </c>
      <c r="C22" s="71" t="s">
        <v>13</v>
      </c>
      <c r="D22" s="71" t="s">
        <v>338</v>
      </c>
      <c r="E22" s="71" t="s">
        <v>339</v>
      </c>
      <c r="F22" s="71" t="s">
        <v>340</v>
      </c>
      <c r="G22" s="71" t="s">
        <v>17</v>
      </c>
      <c r="H22" s="72" t="s">
        <v>328</v>
      </c>
      <c r="I22" s="71" t="s">
        <v>341</v>
      </c>
      <c r="J22" s="71" t="s">
        <v>318</v>
      </c>
      <c r="K22" s="73" t="s">
        <v>88</v>
      </c>
      <c r="L22" s="73" t="s">
        <v>21</v>
      </c>
      <c r="M22" s="71" t="str">
        <f t="shared" ref="M22:M29" si="1">CONCATENATE("CLIENTE ", F22," ",J22, " VENDEDOR BENJAMIN SALAZAR SUPERVISOR JOSE IGNACIO QUEVEDO CASTILLO ")</f>
        <v xml:space="preserve">CLIENTE MAGDA SAGRARIO HERNANDEZ ALMANZA Universal+ Paramount+ Golden PROMO DE 1 MES  VENDEDOR BENJAMIN SALAZAR SUPERVISOR JOSE IGNACIO QUEVEDO CASTILLO </v>
      </c>
    </row>
    <row r="23" spans="1:31" s="56" customFormat="1" ht="18" customHeight="1">
      <c r="A23" s="7" t="s">
        <v>342</v>
      </c>
      <c r="B23" s="6">
        <v>45635</v>
      </c>
      <c r="C23" s="7" t="s">
        <v>13</v>
      </c>
      <c r="D23" s="7" t="s">
        <v>343</v>
      </c>
      <c r="E23" s="7" t="s">
        <v>344</v>
      </c>
      <c r="F23" s="7" t="s">
        <v>345</v>
      </c>
      <c r="G23" s="7" t="s">
        <v>346</v>
      </c>
      <c r="H23" s="22" t="s">
        <v>328</v>
      </c>
      <c r="I23" s="7" t="s">
        <v>347</v>
      </c>
      <c r="J23" s="7" t="s">
        <v>318</v>
      </c>
      <c r="K23" s="16" t="s">
        <v>88</v>
      </c>
      <c r="L23" s="22" t="s">
        <v>21</v>
      </c>
      <c r="M23" s="7" t="str">
        <f t="shared" si="1"/>
        <v xml:space="preserve">CLIENTE GUADALUPE ROBLEDO PEREZ Universal+ Paramount+ Golden PROMO DE 1 MES  VENDEDOR BENJAMIN SALAZAR SUPERVISOR JOSE IGNACIO QUEVEDO CASTILLO </v>
      </c>
    </row>
    <row r="24" spans="1:31" s="57" customFormat="1" ht="18" customHeight="1">
      <c r="A24" s="7" t="s">
        <v>348</v>
      </c>
      <c r="B24" s="6">
        <v>45635</v>
      </c>
      <c r="C24" s="7" t="s">
        <v>13</v>
      </c>
      <c r="D24" s="7" t="s">
        <v>349</v>
      </c>
      <c r="E24" s="7" t="s">
        <v>350</v>
      </c>
      <c r="F24" s="7" t="s">
        <v>351</v>
      </c>
      <c r="G24" s="7" t="s">
        <v>352</v>
      </c>
      <c r="H24" s="22" t="s">
        <v>328</v>
      </c>
      <c r="I24" s="7" t="s">
        <v>353</v>
      </c>
      <c r="J24" s="7" t="s">
        <v>354</v>
      </c>
      <c r="K24" s="22" t="s">
        <v>20</v>
      </c>
      <c r="L24" s="22" t="s">
        <v>21</v>
      </c>
      <c r="M24" s="7" t="str">
        <f t="shared" si="1"/>
        <v xml:space="preserve">CLIENTE ADRIAN PADILLA NAVA Universal+ Golden PROMO DE 1 MES  VENDEDOR BENJAMIN SALAZAR SUPERVISOR JOSE IGNACIO QUEVEDO CASTILLO </v>
      </c>
      <c r="N24" s="56"/>
      <c r="O24" s="56"/>
    </row>
    <row r="25" spans="1:31" s="57" customFormat="1" ht="18" customHeight="1">
      <c r="A25" s="7" t="s">
        <v>355</v>
      </c>
      <c r="B25" s="6">
        <v>45635</v>
      </c>
      <c r="C25" s="7" t="s">
        <v>13</v>
      </c>
      <c r="D25" s="7" t="s">
        <v>356</v>
      </c>
      <c r="E25" s="7" t="s">
        <v>357</v>
      </c>
      <c r="F25" s="7" t="s">
        <v>358</v>
      </c>
      <c r="G25" s="7" t="s">
        <v>359</v>
      </c>
      <c r="H25" s="22" t="s">
        <v>360</v>
      </c>
      <c r="I25" s="7" t="s">
        <v>361</v>
      </c>
      <c r="J25" s="7" t="s">
        <v>318</v>
      </c>
      <c r="K25" s="22" t="s">
        <v>20</v>
      </c>
      <c r="L25" s="22" t="s">
        <v>21</v>
      </c>
      <c r="M25" s="6" t="str">
        <f t="shared" si="1"/>
        <v xml:space="preserve">CLIENTE JOSE LUIS GARCIA GALLEGO Universal+ Paramount+ Golden PROMO DE 1 MES  VENDEDOR BENJAMIN SALAZAR SUPERVISOR JOSE IGNACIO QUEVEDO CASTILLO </v>
      </c>
      <c r="N25" s="56"/>
      <c r="O25" s="56"/>
    </row>
    <row r="26" spans="1:31" s="56" customFormat="1" ht="18" customHeight="1">
      <c r="A26" s="7" t="s">
        <v>368</v>
      </c>
      <c r="B26" s="6">
        <v>45636</v>
      </c>
      <c r="C26" s="7" t="s">
        <v>53</v>
      </c>
      <c r="D26" s="7" t="s">
        <v>369</v>
      </c>
      <c r="E26" s="7" t="s">
        <v>370</v>
      </c>
      <c r="F26" s="7" t="s">
        <v>371</v>
      </c>
      <c r="G26" s="7" t="s">
        <v>372</v>
      </c>
      <c r="H26" s="22" t="s">
        <v>373</v>
      </c>
      <c r="I26" s="7" t="s">
        <v>374</v>
      </c>
      <c r="J26" s="7" t="s">
        <v>318</v>
      </c>
      <c r="K26" s="22" t="s">
        <v>20</v>
      </c>
      <c r="L26" s="22" t="s">
        <v>21</v>
      </c>
      <c r="M26" s="7" t="str">
        <f t="shared" si="1"/>
        <v xml:space="preserve">CLIENTE ULISES SANTOS GALINDO Universal+ Paramount+ Golden PROMO DE 1 MES  VENDEDOR BENJAMIN SALAZAR SUPERVISOR JOSE IGNACIO QUEVEDO CASTILLO </v>
      </c>
    </row>
    <row r="27" spans="1:31" s="57" customFormat="1" ht="18" customHeight="1">
      <c r="A27" s="7" t="s">
        <v>375</v>
      </c>
      <c r="B27" s="6">
        <v>45636</v>
      </c>
      <c r="C27" s="7" t="s">
        <v>13</v>
      </c>
      <c r="D27" s="7" t="s">
        <v>376</v>
      </c>
      <c r="E27" s="7" t="s">
        <v>377</v>
      </c>
      <c r="F27" s="7" t="s">
        <v>378</v>
      </c>
      <c r="G27" s="7" t="s">
        <v>379</v>
      </c>
      <c r="H27" s="22" t="s">
        <v>380</v>
      </c>
      <c r="I27" s="7" t="s">
        <v>381</v>
      </c>
      <c r="J27" s="7" t="s">
        <v>382</v>
      </c>
      <c r="K27" s="22" t="s">
        <v>20</v>
      </c>
      <c r="L27" s="22" t="s">
        <v>21</v>
      </c>
      <c r="M27" s="7" t="str">
        <f t="shared" si="1"/>
        <v xml:space="preserve">CLIENTE LAURA RAMIREZ MARTINEZ Golden PROMO DE 1 MES  VENDEDOR BENJAMIN SALAZAR SUPERVISOR JOSE IGNACIO QUEVEDO CASTILLO </v>
      </c>
      <c r="N27" s="56"/>
      <c r="O27" s="56"/>
    </row>
    <row r="28" spans="1:31" s="57" customFormat="1" ht="18" customHeight="1">
      <c r="A28" s="7" t="s">
        <v>383</v>
      </c>
      <c r="B28" s="6">
        <v>45636</v>
      </c>
      <c r="C28" s="7" t="s">
        <v>13</v>
      </c>
      <c r="D28" s="7" t="s">
        <v>384</v>
      </c>
      <c r="E28" s="7" t="s">
        <v>385</v>
      </c>
      <c r="F28" s="7" t="s">
        <v>386</v>
      </c>
      <c r="G28" s="7" t="s">
        <v>387</v>
      </c>
      <c r="H28" s="22" t="s">
        <v>388</v>
      </c>
      <c r="I28" s="7" t="s">
        <v>389</v>
      </c>
      <c r="J28" s="7" t="s">
        <v>318</v>
      </c>
      <c r="K28" s="22" t="s">
        <v>20</v>
      </c>
      <c r="L28" s="22" t="s">
        <v>21</v>
      </c>
      <c r="M28" s="6" t="str">
        <f t="shared" si="1"/>
        <v xml:space="preserve">CLIENTE ROSA CARRETERO SANTIAGO Universal+ Paramount+ Golden PROMO DE 1 MES  VENDEDOR BENJAMIN SALAZAR SUPERVISOR JOSE IGNACIO QUEVEDO CASTILLO </v>
      </c>
      <c r="N28" s="56"/>
      <c r="O28" s="56"/>
    </row>
    <row r="29" spans="1:31" s="57" customFormat="1" ht="18" customHeight="1">
      <c r="A29" s="7" t="s">
        <v>390</v>
      </c>
      <c r="B29" s="6">
        <v>45636</v>
      </c>
      <c r="C29" s="7" t="s">
        <v>13</v>
      </c>
      <c r="D29" s="7" t="s">
        <v>391</v>
      </c>
      <c r="E29" s="7" t="s">
        <v>392</v>
      </c>
      <c r="F29" s="7" t="s">
        <v>393</v>
      </c>
      <c r="G29" s="7" t="s">
        <v>394</v>
      </c>
      <c r="H29" s="22" t="s">
        <v>395</v>
      </c>
      <c r="I29" s="7" t="s">
        <v>396</v>
      </c>
      <c r="J29" s="7" t="s">
        <v>318</v>
      </c>
      <c r="K29" s="22" t="s">
        <v>20</v>
      </c>
      <c r="L29" s="22" t="s">
        <v>21</v>
      </c>
      <c r="M29" s="7" t="str">
        <f t="shared" si="1"/>
        <v xml:space="preserve">CLIENTE TERESITA FLORES EQUIZA Universal+ Paramount+ Golden PROMO DE 1 MES  VENDEDOR BENJAMIN SALAZAR SUPERVISOR JOSE IGNACIO QUEVEDO CASTILLO </v>
      </c>
      <c r="N29" s="56"/>
      <c r="O29" s="56"/>
    </row>
    <row r="30" spans="1:31" s="57" customFormat="1" ht="18" customHeight="1">
      <c r="A30" s="7" t="s">
        <v>432</v>
      </c>
      <c r="B30" s="6">
        <v>45638</v>
      </c>
      <c r="C30" s="7" t="s">
        <v>13</v>
      </c>
      <c r="D30" s="7">
        <v>42863195</v>
      </c>
      <c r="E30" s="7" t="s">
        <v>433</v>
      </c>
      <c r="F30" s="7" t="s">
        <v>434</v>
      </c>
      <c r="G30" s="7" t="s">
        <v>435</v>
      </c>
      <c r="H30" s="22">
        <v>3931793366</v>
      </c>
      <c r="I30" s="7" t="s">
        <v>436</v>
      </c>
      <c r="J30" s="7" t="s">
        <v>437</v>
      </c>
      <c r="K30" s="22" t="s">
        <v>20</v>
      </c>
      <c r="L30" s="22" t="s">
        <v>21</v>
      </c>
      <c r="M30" s="7" t="str">
        <f t="shared" ref="M30:M44" si="2">CONCATENATE("CLIENTE ", F30," ",J30, " VENDEDOR BENJAMIN SALAZAR SUPERVISOR JOSE IGNACIO QUEVEDO CASTILLO ")</f>
        <v xml:space="preserve">CLIENTE ESPERANZA GARCIA MORA Paramount+ PROMO DE 1 MES  VENDEDOR BENJAMIN SALAZAR SUPERVISOR JOSE IGNACIO QUEVEDO CASTILLO </v>
      </c>
      <c r="N30" s="56"/>
      <c r="O30" s="56"/>
    </row>
    <row r="31" spans="1:31" ht="18" customHeight="1">
      <c r="A31" s="7" t="s">
        <v>453</v>
      </c>
      <c r="B31" s="6">
        <v>45640</v>
      </c>
      <c r="C31" s="7" t="s">
        <v>13</v>
      </c>
      <c r="D31" s="7">
        <v>17853923</v>
      </c>
      <c r="E31" s="7" t="s">
        <v>454</v>
      </c>
      <c r="F31" s="7" t="s">
        <v>455</v>
      </c>
      <c r="G31" s="7" t="s">
        <v>456</v>
      </c>
      <c r="H31" s="22" t="s">
        <v>457</v>
      </c>
      <c r="I31" s="7" t="s">
        <v>458</v>
      </c>
      <c r="J31" s="7" t="s">
        <v>318</v>
      </c>
      <c r="K31" s="22" t="s">
        <v>20</v>
      </c>
      <c r="L31" s="22" t="s">
        <v>21</v>
      </c>
      <c r="M31" s="7" t="str">
        <f t="shared" si="2"/>
        <v xml:space="preserve">CLIENTE MARIA TERESA MARTINEZ MATA Universal+ Paramount+ Golden PROMO DE 1 MES  VENDEDOR BENJAMIN SALAZAR SUPERVISOR JOSE IGNACIO QUEVEDO CASTILLO 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ht="18" customHeight="1">
      <c r="A32" s="7" t="s">
        <v>475</v>
      </c>
      <c r="B32" s="6">
        <v>45640</v>
      </c>
      <c r="C32" s="7" t="s">
        <v>13</v>
      </c>
      <c r="D32" s="7">
        <v>36604029</v>
      </c>
      <c r="E32" s="7" t="s">
        <v>476</v>
      </c>
      <c r="F32" s="7" t="s">
        <v>477</v>
      </c>
      <c r="G32" s="7" t="s">
        <v>478</v>
      </c>
      <c r="H32" s="22" t="s">
        <v>479</v>
      </c>
      <c r="I32" s="7" t="s">
        <v>480</v>
      </c>
      <c r="J32" s="7" t="s">
        <v>318</v>
      </c>
      <c r="K32" s="22" t="s">
        <v>20</v>
      </c>
      <c r="L32" s="22" t="s">
        <v>21</v>
      </c>
      <c r="M32" s="7" t="str">
        <f t="shared" si="2"/>
        <v xml:space="preserve">CLIENTE ALBERTO AVALOS LEYVA Universal+ Paramount+ Golden PROMO DE 1 MES  VENDEDOR BENJAMIN SALAZAR SUPERVISOR JOSE IGNACIO QUEVEDO CASTILLO 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ht="18" customHeight="1">
      <c r="A33" s="5" t="s">
        <v>481</v>
      </c>
      <c r="B33" s="1"/>
      <c r="C33" s="5" t="s">
        <v>13</v>
      </c>
      <c r="E33" s="2"/>
      <c r="F33" s="2"/>
      <c r="G33" s="5" t="s">
        <v>482</v>
      </c>
      <c r="J33" s="2"/>
      <c r="K33" s="19" t="s">
        <v>88</v>
      </c>
      <c r="L33" s="3"/>
      <c r="M33" s="5" t="str">
        <f t="shared" si="2"/>
        <v xml:space="preserve">CLIENTE   VENDEDOR BENJAMIN SALAZAR SUPERVISOR JOSE IGNACIO QUEVEDO CASTILLO </v>
      </c>
    </row>
    <row r="34" spans="1:31" ht="18" customHeight="1">
      <c r="A34" s="5" t="s">
        <v>483</v>
      </c>
      <c r="B34" s="1"/>
      <c r="C34" s="5" t="s">
        <v>13</v>
      </c>
      <c r="E34" s="2"/>
      <c r="F34" s="2"/>
      <c r="G34" s="2"/>
      <c r="J34" s="2"/>
      <c r="K34" s="19" t="s">
        <v>88</v>
      </c>
      <c r="L34" s="3"/>
      <c r="M34" s="5" t="str">
        <f t="shared" si="2"/>
        <v xml:space="preserve">CLIENTE   VENDEDOR BENJAMIN SALAZAR SUPERVISOR JOSE IGNACIO QUEVEDO CASTILLO </v>
      </c>
    </row>
    <row r="35" spans="1:31" ht="18" customHeight="1">
      <c r="A35" s="5" t="s">
        <v>484</v>
      </c>
      <c r="B35" s="1"/>
      <c r="C35" s="5" t="s">
        <v>13</v>
      </c>
      <c r="E35" s="2"/>
      <c r="F35" s="2"/>
      <c r="G35" s="2"/>
      <c r="J35" s="2"/>
      <c r="K35" s="19" t="s">
        <v>88</v>
      </c>
      <c r="L35" s="3"/>
      <c r="M35" s="5" t="str">
        <f t="shared" si="2"/>
        <v xml:space="preserve">CLIENTE   VENDEDOR BENJAMIN SALAZAR SUPERVISOR JOSE IGNACIO QUEVEDO CASTILLO </v>
      </c>
    </row>
    <row r="36" spans="1:31" ht="18" customHeight="1">
      <c r="A36" s="5" t="s">
        <v>485</v>
      </c>
      <c r="B36" s="1"/>
      <c r="C36" s="5" t="s">
        <v>13</v>
      </c>
      <c r="E36" s="2"/>
      <c r="F36" s="2"/>
      <c r="G36" s="2"/>
      <c r="J36" s="2"/>
      <c r="K36" s="19" t="s">
        <v>88</v>
      </c>
      <c r="L36" s="3"/>
      <c r="M36" s="5" t="str">
        <f t="shared" si="2"/>
        <v xml:space="preserve">CLIENTE   VENDEDOR BENJAMIN SALAZAR SUPERVISOR JOSE IGNACIO QUEVEDO CASTILLO </v>
      </c>
    </row>
    <row r="37" spans="1:31" ht="18" customHeight="1">
      <c r="A37" s="5" t="s">
        <v>486</v>
      </c>
      <c r="B37" s="1"/>
      <c r="C37" s="5" t="s">
        <v>13</v>
      </c>
      <c r="E37" s="2"/>
      <c r="F37" s="2"/>
      <c r="G37" s="2"/>
      <c r="J37" s="2"/>
      <c r="K37" s="19" t="s">
        <v>88</v>
      </c>
      <c r="L37" s="3"/>
      <c r="M37" s="5" t="str">
        <f t="shared" si="2"/>
        <v xml:space="preserve">CLIENTE   VENDEDOR BENJAMIN SALAZAR SUPERVISOR JOSE IGNACIO QUEVEDO CASTILLO </v>
      </c>
    </row>
    <row r="38" spans="1:31" ht="18" customHeight="1">
      <c r="A38" s="5" t="s">
        <v>487</v>
      </c>
      <c r="B38" s="1"/>
      <c r="C38" s="5" t="s">
        <v>13</v>
      </c>
      <c r="E38" s="2"/>
      <c r="F38" s="2"/>
      <c r="G38" s="2"/>
      <c r="J38" s="2"/>
      <c r="K38" s="19" t="s">
        <v>88</v>
      </c>
      <c r="L38" s="3"/>
      <c r="M38" s="5" t="str">
        <f t="shared" si="2"/>
        <v xml:space="preserve">CLIENTE   VENDEDOR BENJAMIN SALAZAR SUPERVISOR JOSE IGNACIO QUEVEDO CASTILLO </v>
      </c>
    </row>
    <row r="39" spans="1:31" ht="18" customHeight="1">
      <c r="A39" s="5" t="s">
        <v>488</v>
      </c>
      <c r="B39" s="1"/>
      <c r="C39" s="5" t="s">
        <v>13</v>
      </c>
      <c r="E39" s="2"/>
      <c r="F39" s="2"/>
      <c r="G39" s="2"/>
      <c r="J39" s="2"/>
      <c r="K39" s="19" t="s">
        <v>88</v>
      </c>
      <c r="L39" s="3"/>
      <c r="M39" s="5" t="str">
        <f t="shared" si="2"/>
        <v xml:space="preserve">CLIENTE   VENDEDOR BENJAMIN SALAZAR SUPERVISOR JOSE IGNACIO QUEVEDO CASTILLO </v>
      </c>
    </row>
    <row r="40" spans="1:31" ht="18" customHeight="1">
      <c r="A40" s="5" t="s">
        <v>489</v>
      </c>
      <c r="B40" s="1"/>
      <c r="C40" s="5" t="s">
        <v>13</v>
      </c>
      <c r="E40" s="2"/>
      <c r="F40" s="2"/>
      <c r="G40" s="2"/>
      <c r="J40" s="2"/>
      <c r="K40" s="19" t="s">
        <v>88</v>
      </c>
      <c r="L40" s="3"/>
      <c r="M40" s="5" t="str">
        <f t="shared" si="2"/>
        <v xml:space="preserve">CLIENTE   VENDEDOR BENJAMIN SALAZAR SUPERVISOR JOSE IGNACIO QUEVEDO CASTILLO </v>
      </c>
    </row>
    <row r="41" spans="1:31" s="63" customFormat="1" ht="18" customHeight="1">
      <c r="A41" s="5" t="s">
        <v>490</v>
      </c>
      <c r="B41" s="1"/>
      <c r="C41" s="5" t="s">
        <v>13</v>
      </c>
      <c r="D41" s="95"/>
      <c r="E41" s="2"/>
      <c r="F41" s="2"/>
      <c r="G41" s="2"/>
      <c r="H41" s="27"/>
      <c r="J41" s="2"/>
      <c r="K41" s="19" t="s">
        <v>88</v>
      </c>
      <c r="L41" s="3"/>
      <c r="M41" s="5" t="str">
        <f t="shared" si="2"/>
        <v xml:space="preserve">CLIENTE   VENDEDOR BENJAMIN SALAZAR SUPERVISOR JOSE IGNACIO QUEVEDO CASTILLO </v>
      </c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 spans="1:31" s="63" customFormat="1" ht="18" customHeight="1">
      <c r="A42" s="5" t="s">
        <v>491</v>
      </c>
      <c r="B42" s="1"/>
      <c r="C42" s="5" t="s">
        <v>13</v>
      </c>
      <c r="D42" s="95"/>
      <c r="E42" s="2"/>
      <c r="F42" s="2"/>
      <c r="G42" s="2"/>
      <c r="H42" s="27"/>
      <c r="J42" s="2"/>
      <c r="K42" s="19" t="s">
        <v>88</v>
      </c>
      <c r="L42" s="3"/>
      <c r="M42" s="5" t="str">
        <f t="shared" si="2"/>
        <v xml:space="preserve">CLIENTE   VENDEDOR BENJAMIN SALAZAR SUPERVISOR JOSE IGNACIO QUEVEDO CASTILLO </v>
      </c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 spans="1:31" s="63" customFormat="1" ht="18" customHeight="1">
      <c r="A43" s="5" t="s">
        <v>492</v>
      </c>
      <c r="B43" s="1"/>
      <c r="C43" s="5" t="s">
        <v>13</v>
      </c>
      <c r="D43" s="95"/>
      <c r="E43" s="2"/>
      <c r="F43" s="2"/>
      <c r="G43" s="2"/>
      <c r="H43" s="27"/>
      <c r="J43" s="2"/>
      <c r="K43" s="19" t="s">
        <v>88</v>
      </c>
      <c r="L43" s="3"/>
      <c r="M43" s="5" t="str">
        <f t="shared" si="2"/>
        <v xml:space="preserve">CLIENTE   VENDEDOR BENJAMIN SALAZAR SUPERVISOR JOSE IGNACIO QUEVEDO CASTILLO </v>
      </c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1:31" s="63" customFormat="1" ht="18" customHeight="1">
      <c r="A44" s="5" t="s">
        <v>493</v>
      </c>
      <c r="B44" s="1"/>
      <c r="C44" s="5" t="s">
        <v>13</v>
      </c>
      <c r="D44" s="95"/>
      <c r="E44" s="2"/>
      <c r="F44" s="2"/>
      <c r="G44" s="2"/>
      <c r="H44" s="27"/>
      <c r="J44" s="2"/>
      <c r="K44" s="19" t="s">
        <v>88</v>
      </c>
      <c r="L44" s="3"/>
      <c r="M44" s="5" t="str">
        <f t="shared" si="2"/>
        <v xml:space="preserve">CLIENTE   VENDEDOR BENJAMIN SALAZAR SUPERVISOR JOSE IGNACIO QUEVEDO CASTILLO </v>
      </c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 spans="1:31" s="63" customFormat="1" ht="18" customHeight="1">
      <c r="A45" s="67"/>
      <c r="B45" s="1"/>
      <c r="C45" s="2"/>
      <c r="D45" s="95"/>
      <c r="E45" s="2"/>
      <c r="F45" s="2"/>
      <c r="G45" s="2"/>
      <c r="H45" s="27"/>
      <c r="J45" s="2"/>
      <c r="K45" s="24"/>
      <c r="L45" s="3"/>
      <c r="M45" s="1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 spans="1:31" s="63" customFormat="1" ht="18" customHeight="1">
      <c r="A46" s="67"/>
      <c r="B46" s="1"/>
      <c r="C46" s="2"/>
      <c r="D46" s="95"/>
      <c r="E46" s="2"/>
      <c r="F46" s="2"/>
      <c r="G46" s="2"/>
      <c r="H46" s="27"/>
      <c r="J46" s="2"/>
      <c r="K46" s="24"/>
      <c r="L46" s="3"/>
      <c r="M46" s="1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 spans="1:31" s="63" customFormat="1" ht="18" customHeight="1">
      <c r="A47" s="67"/>
      <c r="B47" s="1"/>
      <c r="C47" s="2"/>
      <c r="D47" s="95"/>
      <c r="E47" s="2"/>
      <c r="F47" s="2"/>
      <c r="G47" s="2"/>
      <c r="H47" s="27"/>
      <c r="J47" s="2"/>
      <c r="K47" s="24"/>
      <c r="L47" s="3"/>
      <c r="M47" s="1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 spans="1:31" s="63" customFormat="1" ht="18" customHeight="1">
      <c r="A48" s="67"/>
      <c r="B48" s="1"/>
      <c r="C48" s="2"/>
      <c r="D48" s="95"/>
      <c r="E48" s="2"/>
      <c r="F48" s="2"/>
      <c r="G48" s="2"/>
      <c r="H48" s="27"/>
      <c r="J48" s="2"/>
      <c r="K48" s="24"/>
      <c r="L48" s="3"/>
      <c r="M48" s="1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spans="1:31" s="63" customFormat="1" ht="18" customHeight="1">
      <c r="A49" s="67"/>
      <c r="B49" s="1"/>
      <c r="C49" s="2"/>
      <c r="D49" s="95"/>
      <c r="E49" s="2"/>
      <c r="F49" s="2"/>
      <c r="G49" s="2"/>
      <c r="H49" s="27"/>
      <c r="J49" s="2"/>
      <c r="K49" s="24"/>
      <c r="L49" s="3"/>
      <c r="M49" s="1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 spans="1:31" s="63" customFormat="1" ht="18" customHeight="1">
      <c r="A50" s="67"/>
      <c r="B50" s="1"/>
      <c r="C50" s="2"/>
      <c r="D50" s="95"/>
      <c r="E50" s="2"/>
      <c r="F50" s="2"/>
      <c r="G50" s="2"/>
      <c r="H50" s="27"/>
      <c r="J50" s="2"/>
      <c r="K50" s="24"/>
      <c r="L50" s="3"/>
      <c r="M50" s="1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 spans="1:31" s="63" customFormat="1" ht="18" customHeight="1">
      <c r="A51" s="67"/>
      <c r="B51" s="1"/>
      <c r="C51" s="2"/>
      <c r="D51" s="95"/>
      <c r="E51" s="2"/>
      <c r="F51" s="2"/>
      <c r="G51" s="2"/>
      <c r="H51" s="27"/>
      <c r="J51" s="2"/>
      <c r="K51" s="24"/>
      <c r="L51" s="3"/>
      <c r="M51" s="1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 spans="1:31" s="63" customFormat="1" ht="18" customHeight="1">
      <c r="A52" s="67"/>
      <c r="B52" s="1"/>
      <c r="C52" s="2"/>
      <c r="D52" s="95"/>
      <c r="E52" s="2"/>
      <c r="F52" s="2"/>
      <c r="G52" s="2"/>
      <c r="H52" s="27"/>
      <c r="J52" s="2"/>
      <c r="K52" s="24"/>
      <c r="L52" s="3"/>
      <c r="M52" s="1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 spans="1:31" s="63" customFormat="1" ht="18" customHeight="1">
      <c r="A53" s="67"/>
      <c r="B53" s="1"/>
      <c r="C53" s="2"/>
      <c r="D53" s="2" t="s">
        <v>494</v>
      </c>
      <c r="E53" s="2"/>
      <c r="F53" s="24"/>
      <c r="G53" s="2"/>
      <c r="H53" s="2"/>
      <c r="I53" s="2"/>
      <c r="J53" s="2"/>
      <c r="K53" s="24" t="s">
        <v>495</v>
      </c>
      <c r="L53" s="2"/>
      <c r="M53" s="1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 spans="1:31" s="63" customFormat="1" ht="18" customHeight="1">
      <c r="A54" s="67"/>
      <c r="B54" s="1"/>
      <c r="C54" s="2"/>
      <c r="D54" s="2" t="s">
        <v>496</v>
      </c>
      <c r="E54" s="2"/>
      <c r="F54" s="24"/>
      <c r="G54" s="2"/>
      <c r="H54" s="2"/>
      <c r="I54" s="2"/>
      <c r="J54" s="2"/>
      <c r="K54" s="24" t="s">
        <v>497</v>
      </c>
      <c r="L54" s="2" t="s">
        <v>498</v>
      </c>
      <c r="M54" s="1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 spans="1:31" s="63" customFormat="1" ht="18" customHeight="1">
      <c r="A55" s="67"/>
      <c r="B55" s="1"/>
      <c r="C55" s="2"/>
      <c r="D55" s="95"/>
      <c r="E55" s="2"/>
      <c r="F55" s="27"/>
      <c r="G55" s="2"/>
      <c r="I55" s="2"/>
      <c r="J55" s="2"/>
      <c r="K55" s="24"/>
      <c r="L55" s="3"/>
      <c r="M55" s="1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 spans="1:31" s="63" customFormat="1" ht="18" customHeight="1">
      <c r="A56" s="67"/>
      <c r="B56" s="1"/>
      <c r="C56" s="2"/>
      <c r="D56" s="2"/>
      <c r="E56" s="2"/>
      <c r="F56" s="2"/>
      <c r="G56" s="2"/>
      <c r="H56" s="24"/>
      <c r="I56" s="2"/>
      <c r="J56" s="2"/>
      <c r="K56" s="24"/>
      <c r="L56" s="3"/>
      <c r="M56" s="1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spans="1:31" s="63" customFormat="1" ht="18" customHeight="1">
      <c r="A57" s="67"/>
      <c r="B57" s="1"/>
      <c r="C57" s="2"/>
      <c r="D57" s="2"/>
      <c r="E57" s="2"/>
      <c r="F57" s="2"/>
      <c r="G57" s="2"/>
      <c r="H57" s="24"/>
      <c r="I57" s="2"/>
      <c r="J57" s="2"/>
      <c r="K57" s="24"/>
      <c r="L57" s="3"/>
      <c r="M57" s="1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 spans="1:31" s="63" customFormat="1" ht="18" customHeight="1">
      <c r="A58" s="67"/>
      <c r="B58" s="1"/>
      <c r="C58" s="2"/>
      <c r="D58" s="2"/>
      <c r="F58" s="2"/>
      <c r="G58" s="2"/>
      <c r="H58" s="24"/>
      <c r="I58" s="2"/>
      <c r="J58" s="2"/>
      <c r="K58" s="24"/>
      <c r="L58" s="3"/>
      <c r="M58" s="1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 spans="1:31" s="63" customFormat="1" ht="18" customHeight="1">
      <c r="A59" s="67"/>
      <c r="B59" s="1"/>
      <c r="C59" s="2"/>
      <c r="D59" s="2"/>
      <c r="E59" s="2"/>
      <c r="F59" s="2"/>
      <c r="G59" s="2"/>
      <c r="H59" s="24"/>
      <c r="I59" s="2"/>
      <c r="J59" s="2"/>
      <c r="K59" s="24"/>
      <c r="L59" s="3"/>
      <c r="M59" s="1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 spans="1:31" s="63" customFormat="1" ht="18" customHeight="1">
      <c r="A60" s="67"/>
      <c r="B60" s="1"/>
      <c r="C60" s="2"/>
      <c r="D60" s="2"/>
      <c r="E60" s="2"/>
      <c r="F60" s="2"/>
      <c r="G60" s="2"/>
      <c r="H60" s="24"/>
      <c r="I60" s="2"/>
      <c r="J60" s="2"/>
      <c r="K60" s="24"/>
      <c r="L60" s="3"/>
      <c r="M60" s="1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spans="1:31" s="63" customFormat="1" ht="18" customHeight="1">
      <c r="A61" s="67"/>
      <c r="B61" s="1"/>
      <c r="C61" s="2"/>
      <c r="D61" s="2"/>
      <c r="E61" s="2"/>
      <c r="F61" s="2"/>
      <c r="G61" s="2"/>
      <c r="H61" s="24"/>
      <c r="I61" s="2"/>
      <c r="J61" s="2"/>
      <c r="K61" s="24"/>
      <c r="L61" s="3"/>
      <c r="M61" s="1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 spans="1:31" s="63" customFormat="1" ht="18" customHeight="1">
      <c r="A62" s="67"/>
      <c r="B62" s="1"/>
      <c r="C62" s="2"/>
      <c r="D62" s="2"/>
      <c r="E62" s="2"/>
      <c r="F62" s="2"/>
      <c r="G62" s="2"/>
      <c r="H62" s="24"/>
      <c r="I62" s="2"/>
      <c r="J62" s="2"/>
      <c r="K62" s="24"/>
      <c r="L62" s="3"/>
      <c r="M62" s="1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 spans="1:31" s="63" customFormat="1" ht="18" customHeight="1">
      <c r="A63" s="67"/>
      <c r="B63" s="1"/>
      <c r="C63" s="2"/>
      <c r="D63" s="2"/>
      <c r="E63" s="2"/>
      <c r="F63" s="2"/>
      <c r="G63" s="2"/>
      <c r="H63" s="24"/>
      <c r="I63" s="2"/>
      <c r="J63" s="2"/>
      <c r="K63" s="24"/>
      <c r="L63" s="3"/>
      <c r="M63" s="1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spans="1:31" s="63" customFormat="1" ht="18" customHeight="1">
      <c r="A64" s="67"/>
      <c r="B64" s="1"/>
      <c r="C64" s="2"/>
      <c r="D64" s="2"/>
      <c r="E64" s="2"/>
      <c r="F64" s="2"/>
      <c r="G64" s="2"/>
      <c r="H64" s="24"/>
      <c r="I64" s="2"/>
      <c r="J64" s="2"/>
      <c r="K64" s="24"/>
      <c r="L64" s="3"/>
      <c r="M64" s="1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</row>
    <row r="65" spans="1:31" s="63" customFormat="1" ht="18" customHeight="1">
      <c r="A65" s="67"/>
      <c r="B65" s="1"/>
      <c r="C65" s="2"/>
      <c r="D65" s="2"/>
      <c r="E65" s="2"/>
      <c r="F65" s="2"/>
      <c r="G65" s="2"/>
      <c r="H65" s="24"/>
      <c r="I65" s="2"/>
      <c r="J65" s="2"/>
      <c r="K65" s="24"/>
      <c r="L65" s="3"/>
      <c r="M65" s="1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</row>
    <row r="66" spans="1:31" s="63" customFormat="1" ht="18" customHeight="1">
      <c r="A66" s="67"/>
      <c r="B66" s="1"/>
      <c r="C66" s="2"/>
      <c r="D66" s="2"/>
      <c r="E66" s="2"/>
      <c r="F66" s="2"/>
      <c r="G66" s="2"/>
      <c r="H66" s="24"/>
      <c r="I66" s="2"/>
      <c r="J66" s="2"/>
      <c r="K66" s="24"/>
      <c r="L66" s="3"/>
      <c r="M66" s="1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</row>
    <row r="67" spans="1:31" s="63" customFormat="1" ht="18" customHeight="1">
      <c r="A67" s="67"/>
      <c r="B67" s="1"/>
      <c r="C67" s="2"/>
      <c r="D67" s="2"/>
      <c r="E67" s="2"/>
      <c r="F67" s="2"/>
      <c r="G67" s="2"/>
      <c r="H67" s="24"/>
      <c r="I67" s="2"/>
      <c r="J67" s="2"/>
      <c r="K67" s="24"/>
      <c r="L67" s="3"/>
      <c r="M67" s="1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</row>
    <row r="68" spans="1:31" s="63" customFormat="1" ht="18" customHeight="1">
      <c r="A68" s="67"/>
      <c r="B68" s="1"/>
      <c r="C68" s="2"/>
      <c r="D68" s="2"/>
      <c r="E68" s="2"/>
      <c r="F68" s="2"/>
      <c r="G68" s="2"/>
      <c r="H68" s="24"/>
      <c r="I68" s="2"/>
      <c r="J68" s="2"/>
      <c r="K68" s="24"/>
      <c r="L68" s="3"/>
      <c r="M68" s="1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</row>
    <row r="69" spans="1:31" s="63" customFormat="1" ht="18" customHeight="1">
      <c r="A69" s="67"/>
      <c r="B69" s="1"/>
      <c r="C69" s="2"/>
      <c r="D69" s="2"/>
      <c r="E69" s="2"/>
      <c r="F69" s="2"/>
      <c r="G69" s="2"/>
      <c r="H69" s="24"/>
      <c r="I69" s="2"/>
      <c r="J69" s="2"/>
      <c r="K69" s="24"/>
      <c r="L69" s="3"/>
      <c r="M69" s="1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</row>
    <row r="70" spans="1:31" s="63" customFormat="1" ht="18" customHeight="1">
      <c r="A70" s="67"/>
      <c r="B70" s="1"/>
      <c r="C70" s="2"/>
      <c r="D70" s="2"/>
      <c r="E70" s="2"/>
      <c r="F70" s="2"/>
      <c r="G70" s="2"/>
      <c r="H70" s="24"/>
      <c r="I70" s="2"/>
      <c r="J70" s="2"/>
      <c r="K70" s="24"/>
      <c r="L70" s="3"/>
      <c r="M70" s="1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</row>
    <row r="71" spans="1:31" s="63" customFormat="1" ht="18" customHeight="1">
      <c r="A71" s="51"/>
      <c r="B71" s="1" t="s">
        <v>499</v>
      </c>
      <c r="C71" s="2"/>
      <c r="D71" s="2"/>
      <c r="E71" s="2"/>
      <c r="F71" s="2"/>
      <c r="G71" s="2"/>
      <c r="H71" s="24"/>
      <c r="I71" s="2"/>
      <c r="J71" s="2"/>
      <c r="K71" s="24"/>
      <c r="L71" s="3"/>
      <c r="M71" s="1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</row>
    <row r="72" spans="1:31" s="63" customFormat="1" ht="18" customHeight="1">
      <c r="A72" s="75"/>
      <c r="B72" s="1" t="s">
        <v>500</v>
      </c>
      <c r="C72" s="2"/>
      <c r="D72" s="2"/>
      <c r="E72" s="67"/>
      <c r="F72" s="67"/>
      <c r="G72" s="2"/>
      <c r="H72" s="25"/>
      <c r="I72" s="67"/>
      <c r="J72" s="67"/>
      <c r="K72" s="25"/>
      <c r="L72" s="3"/>
      <c r="M72" s="1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</row>
    <row r="73" spans="1:31" s="63" customFormat="1" ht="18" customHeight="1">
      <c r="A73" s="68"/>
      <c r="B73" s="1" t="s">
        <v>501</v>
      </c>
      <c r="C73" s="2"/>
      <c r="D73" s="2"/>
      <c r="E73" s="67"/>
      <c r="F73" s="67"/>
      <c r="G73" s="2"/>
      <c r="H73" s="25"/>
      <c r="I73" s="67"/>
      <c r="J73" s="67"/>
      <c r="K73" s="25"/>
      <c r="L73" s="3"/>
      <c r="M73" s="1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</row>
    <row r="74" spans="1:31" s="63" customFormat="1" ht="18" customHeight="1">
      <c r="A74" s="53"/>
      <c r="B74" s="1" t="s">
        <v>502</v>
      </c>
      <c r="C74" s="2"/>
      <c r="D74" s="2"/>
      <c r="E74" s="67"/>
      <c r="F74" s="67"/>
      <c r="G74" s="2"/>
      <c r="H74" s="25"/>
      <c r="I74" s="67"/>
      <c r="J74" s="67"/>
      <c r="K74" s="25"/>
      <c r="L74" s="3"/>
      <c r="M74" s="1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</row>
    <row r="75" spans="1:31" s="63" customFormat="1" ht="18" customHeight="1">
      <c r="A75" s="46"/>
      <c r="B75" s="1" t="s">
        <v>503</v>
      </c>
      <c r="C75" s="2"/>
      <c r="D75" s="2"/>
      <c r="E75" s="67"/>
      <c r="F75" s="67"/>
      <c r="G75" s="2"/>
      <c r="H75" s="25"/>
      <c r="I75" s="67"/>
      <c r="J75" s="67"/>
      <c r="K75" s="25"/>
      <c r="L75" s="3"/>
      <c r="M75" s="1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</row>
    <row r="76" spans="1:31" s="63" customFormat="1" ht="18" customHeight="1">
      <c r="A76" s="67"/>
      <c r="B76" s="1"/>
      <c r="C76" s="2"/>
      <c r="D76" s="2"/>
      <c r="E76" s="67"/>
      <c r="F76" s="67"/>
      <c r="G76" s="2"/>
      <c r="H76" s="25"/>
      <c r="I76" s="67"/>
      <c r="J76" s="67"/>
      <c r="K76" s="25"/>
      <c r="L76" s="3"/>
      <c r="M76" s="1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</row>
    <row r="77" spans="1:31" s="63" customFormat="1" ht="18" customHeight="1">
      <c r="A77" s="67"/>
      <c r="B77" s="1"/>
      <c r="C77" s="2"/>
      <c r="D77" s="2"/>
      <c r="E77" s="67"/>
      <c r="F77" s="67"/>
      <c r="G77" s="2"/>
      <c r="H77" s="25"/>
      <c r="I77" s="67"/>
      <c r="J77" s="67"/>
      <c r="K77" s="25"/>
      <c r="L77" s="3"/>
      <c r="M77" s="1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</row>
    <row r="78" spans="1:31" s="63" customFormat="1" ht="18" customHeight="1">
      <c r="A78" s="67"/>
      <c r="B78" s="1"/>
      <c r="C78" s="2"/>
      <c r="D78" s="2"/>
      <c r="E78" s="67"/>
      <c r="F78" s="67"/>
      <c r="G78" s="2"/>
      <c r="H78" s="25"/>
      <c r="I78" s="67"/>
      <c r="J78" s="67"/>
      <c r="K78" s="25"/>
      <c r="L78" s="3"/>
      <c r="M78" s="1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</row>
    <row r="79" spans="1:31" s="63" customFormat="1" ht="18" customHeight="1">
      <c r="A79" s="67"/>
      <c r="B79" s="1"/>
      <c r="C79" s="2"/>
      <c r="D79" s="2"/>
      <c r="E79" s="67"/>
      <c r="F79" s="67"/>
      <c r="G79" s="2"/>
      <c r="H79" s="25"/>
      <c r="I79" s="67"/>
      <c r="J79" s="67"/>
      <c r="K79" s="25"/>
      <c r="L79" s="3"/>
      <c r="M79" s="1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</row>
    <row r="80" spans="1:31" s="63" customFormat="1" ht="18" customHeight="1">
      <c r="A80" s="67"/>
      <c r="B80" s="1"/>
      <c r="C80" s="2"/>
      <c r="D80" s="2"/>
      <c r="E80" s="67"/>
      <c r="F80" s="67"/>
      <c r="G80" s="2"/>
      <c r="H80" s="25"/>
      <c r="I80" s="67"/>
      <c r="J80" s="67"/>
      <c r="K80" s="25"/>
      <c r="L80" s="3"/>
      <c r="M80" s="1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</row>
    <row r="81" spans="1:31" s="63" customFormat="1" ht="18" customHeight="1">
      <c r="A81" s="67"/>
      <c r="B81" s="1"/>
      <c r="C81" s="1"/>
      <c r="D81" s="1"/>
      <c r="E81" s="67"/>
      <c r="F81" s="67"/>
      <c r="G81" s="2"/>
      <c r="H81" s="25"/>
      <c r="I81" s="67"/>
      <c r="J81" s="67"/>
      <c r="K81" s="25"/>
      <c r="L81" s="3"/>
      <c r="M81" s="1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</row>
    <row r="82" spans="1:31" s="63" customFormat="1" ht="18" customHeight="1">
      <c r="A82" s="67"/>
      <c r="B82" s="69"/>
      <c r="C82" s="69"/>
      <c r="D82" s="2"/>
      <c r="E82" s="67"/>
      <c r="F82" s="67"/>
      <c r="G82" s="2"/>
      <c r="H82" s="25"/>
      <c r="I82" s="67"/>
      <c r="J82" s="67"/>
      <c r="K82" s="25"/>
      <c r="L82" s="70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</row>
    <row r="83" spans="1:31" s="63" customFormat="1" ht="18" customHeight="1">
      <c r="A83" s="67"/>
      <c r="B83" s="69"/>
      <c r="C83" s="69"/>
      <c r="D83" s="106"/>
      <c r="E83" s="67"/>
      <c r="F83" s="67"/>
      <c r="G83" s="2"/>
      <c r="H83" s="25"/>
      <c r="I83" s="67"/>
      <c r="J83" s="67"/>
      <c r="K83" s="25"/>
      <c r="L83" s="70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</row>
    <row r="84" spans="1:31" s="63" customFormat="1" ht="18" customHeight="1">
      <c r="A84" s="67"/>
      <c r="B84" s="69"/>
      <c r="C84" s="69"/>
      <c r="D84" s="106"/>
      <c r="E84" s="67"/>
      <c r="F84" s="67"/>
      <c r="G84" s="2"/>
      <c r="H84" s="25"/>
      <c r="I84" s="67"/>
      <c r="J84" s="67"/>
      <c r="K84" s="25"/>
      <c r="L84" s="70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</row>
    <row r="85" spans="1:31" s="63" customFormat="1" ht="18" customHeight="1">
      <c r="A85" s="67"/>
      <c r="B85" s="69"/>
      <c r="C85" s="69"/>
      <c r="D85" s="106"/>
      <c r="E85" s="67"/>
      <c r="F85" s="67"/>
      <c r="G85" s="2"/>
      <c r="H85" s="25"/>
      <c r="I85" s="67"/>
      <c r="J85" s="67"/>
      <c r="K85" s="25"/>
      <c r="L85" s="70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</row>
    <row r="86" spans="1:31" s="63" customFormat="1" ht="18" customHeight="1">
      <c r="A86" s="67"/>
      <c r="B86" s="69"/>
      <c r="C86" s="69"/>
      <c r="D86" s="106"/>
      <c r="E86" s="69"/>
      <c r="F86" s="69"/>
      <c r="G86" s="2"/>
      <c r="H86" s="26"/>
      <c r="I86" s="69"/>
      <c r="J86" s="69"/>
      <c r="K86" s="26"/>
      <c r="L86" s="70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</row>
    <row r="87" spans="1:31" s="63" customFormat="1" ht="18" customHeight="1">
      <c r="A87" s="67"/>
      <c r="B87" s="69"/>
      <c r="C87" s="69"/>
      <c r="D87" s="106"/>
      <c r="E87" s="69"/>
      <c r="F87" s="69"/>
      <c r="G87" s="2"/>
      <c r="H87" s="26"/>
      <c r="I87" s="69"/>
      <c r="J87" s="69"/>
      <c r="K87" s="26"/>
      <c r="L87" s="70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</row>
    <row r="88" spans="1:31" s="63" customFormat="1" ht="18" customHeight="1">
      <c r="A88" s="67"/>
      <c r="D88" s="95"/>
      <c r="G88" s="2"/>
      <c r="H88" s="27"/>
      <c r="K88" s="27"/>
      <c r="L88" s="70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</row>
    <row r="89" spans="1:31" s="27" customFormat="1" ht="18" customHeight="1">
      <c r="A89" s="67"/>
      <c r="B89" s="63"/>
      <c r="C89" s="63"/>
      <c r="D89" s="95"/>
      <c r="E89" s="63"/>
      <c r="F89" s="63"/>
      <c r="G89" s="2"/>
      <c r="I89" s="63"/>
      <c r="J89" s="63"/>
      <c r="L89" s="70"/>
      <c r="M89" s="63"/>
      <c r="N89" s="63"/>
      <c r="O89" s="63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</row>
    <row r="90" spans="1:31" s="27" customFormat="1" ht="18" customHeight="1">
      <c r="A90" s="67"/>
      <c r="B90" s="63"/>
      <c r="C90" s="63"/>
      <c r="D90" s="95"/>
      <c r="E90" s="63"/>
      <c r="F90" s="63"/>
      <c r="G90" s="2"/>
      <c r="I90" s="63"/>
      <c r="J90" s="63"/>
      <c r="L90" s="70"/>
      <c r="M90" s="63"/>
      <c r="N90" s="63"/>
      <c r="O90" s="63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</row>
    <row r="91" spans="1:31" s="27" customFormat="1" ht="18" customHeight="1">
      <c r="A91" s="67"/>
      <c r="B91" s="63"/>
      <c r="C91" s="63"/>
      <c r="D91" s="95"/>
      <c r="E91" s="63"/>
      <c r="F91" s="63"/>
      <c r="G91" s="2"/>
      <c r="I91" s="63"/>
      <c r="J91" s="63"/>
      <c r="L91" s="70"/>
      <c r="M91" s="63"/>
      <c r="N91" s="63"/>
      <c r="O91" s="63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</row>
    <row r="92" spans="1:31" s="27" customFormat="1" ht="18" customHeight="1">
      <c r="A92" s="67"/>
      <c r="B92" s="63"/>
      <c r="C92" s="63"/>
      <c r="D92" s="95"/>
      <c r="E92" s="63"/>
      <c r="F92" s="63"/>
      <c r="G92" s="2"/>
      <c r="I92" s="63"/>
      <c r="J92" s="63"/>
      <c r="L92" s="70"/>
      <c r="M92" s="63"/>
      <c r="N92" s="63"/>
      <c r="O92" s="63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</row>
    <row r="93" spans="1:31" s="27" customFormat="1" ht="18" customHeight="1">
      <c r="A93" s="67"/>
      <c r="B93" s="63"/>
      <c r="C93" s="63"/>
      <c r="D93" s="95"/>
      <c r="E93" s="63"/>
      <c r="F93" s="63"/>
      <c r="G93" s="2"/>
      <c r="I93" s="63"/>
      <c r="J93" s="63"/>
      <c r="L93" s="70"/>
      <c r="M93" s="63"/>
      <c r="N93" s="63"/>
      <c r="O93" s="63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</row>
    <row r="94" spans="1:31" s="27" customFormat="1" ht="18" customHeight="1">
      <c r="A94" s="67"/>
      <c r="B94" s="63"/>
      <c r="C94" s="63"/>
      <c r="D94" s="95"/>
      <c r="E94" s="63"/>
      <c r="F94" s="63"/>
      <c r="G94" s="2"/>
      <c r="I94" s="63"/>
      <c r="J94" s="63"/>
      <c r="L94" s="70"/>
      <c r="M94" s="63"/>
      <c r="N94" s="63"/>
      <c r="O94" s="63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</row>
    <row r="95" spans="1:31" s="27" customFormat="1" ht="18" customHeight="1">
      <c r="A95" s="67"/>
      <c r="B95" s="63"/>
      <c r="C95" s="63"/>
      <c r="D95" s="95"/>
      <c r="E95" s="63"/>
      <c r="F95" s="63"/>
      <c r="G95" s="2"/>
      <c r="I95" s="63"/>
      <c r="J95" s="63"/>
      <c r="L95" s="70"/>
      <c r="M95" s="63"/>
      <c r="N95" s="63"/>
      <c r="O95" s="63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 spans="1:31" s="27" customFormat="1" ht="18" customHeight="1">
      <c r="A96" s="67"/>
      <c r="B96" s="63"/>
      <c r="C96" s="63"/>
      <c r="D96" s="95"/>
      <c r="E96" s="63"/>
      <c r="F96" s="63"/>
      <c r="G96" s="2"/>
      <c r="I96" s="63"/>
      <c r="J96" s="63"/>
      <c r="L96" s="70"/>
      <c r="M96" s="63"/>
      <c r="N96" s="63"/>
      <c r="O96" s="63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 spans="1:31" s="27" customFormat="1" ht="18" customHeight="1">
      <c r="A97" s="67"/>
      <c r="B97" s="63"/>
      <c r="C97" s="63"/>
      <c r="D97" s="95"/>
      <c r="E97" s="63"/>
      <c r="F97" s="63"/>
      <c r="G97" s="2"/>
      <c r="I97" s="63"/>
      <c r="J97" s="63"/>
      <c r="L97" s="70"/>
      <c r="M97" s="63"/>
      <c r="N97" s="63"/>
      <c r="O97" s="63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 spans="1:31" s="27" customFormat="1" ht="18" customHeight="1">
      <c r="A98" s="67"/>
      <c r="B98" s="63"/>
      <c r="C98" s="63"/>
      <c r="D98" s="95"/>
      <c r="E98" s="63"/>
      <c r="F98" s="63"/>
      <c r="G98" s="2"/>
      <c r="I98" s="63"/>
      <c r="J98" s="63"/>
      <c r="L98" s="70"/>
      <c r="M98" s="63"/>
      <c r="N98" s="63"/>
      <c r="O98" s="63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 spans="1:31" s="27" customFormat="1" ht="18" customHeight="1">
      <c r="A99" s="67"/>
      <c r="B99" s="63"/>
      <c r="C99" s="63"/>
      <c r="D99" s="95"/>
      <c r="E99" s="63"/>
      <c r="F99" s="63"/>
      <c r="G99" s="2"/>
      <c r="I99" s="63"/>
      <c r="J99" s="63"/>
      <c r="L99" s="70"/>
      <c r="M99" s="63"/>
      <c r="N99" s="63"/>
      <c r="O99" s="63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 spans="1:31" s="27" customFormat="1" ht="18" customHeight="1">
      <c r="A100" s="67"/>
      <c r="B100" s="63"/>
      <c r="C100" s="63"/>
      <c r="D100" s="95"/>
      <c r="E100" s="63"/>
      <c r="F100" s="63"/>
      <c r="G100" s="2"/>
      <c r="I100" s="63"/>
      <c r="J100" s="63"/>
      <c r="L100" s="70"/>
      <c r="M100" s="63"/>
      <c r="N100" s="63"/>
      <c r="O100" s="63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 spans="1:31" s="27" customFormat="1" ht="18" customHeight="1">
      <c r="A101" s="67"/>
      <c r="B101" s="63"/>
      <c r="C101" s="63"/>
      <c r="D101" s="95"/>
      <c r="E101" s="63"/>
      <c r="F101" s="63"/>
      <c r="G101" s="2"/>
      <c r="I101" s="63"/>
      <c r="J101" s="63"/>
      <c r="L101" s="70"/>
      <c r="M101" s="63"/>
      <c r="N101" s="63"/>
      <c r="O101" s="63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 spans="1:31" s="27" customFormat="1" ht="18" customHeight="1">
      <c r="A102" s="67"/>
      <c r="B102" s="63"/>
      <c r="C102" s="63"/>
      <c r="D102" s="95"/>
      <c r="E102" s="63"/>
      <c r="F102" s="63"/>
      <c r="G102" s="2"/>
      <c r="I102" s="63"/>
      <c r="J102" s="63"/>
      <c r="L102" s="70"/>
      <c r="M102" s="63"/>
      <c r="N102" s="63"/>
      <c r="O102" s="63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 spans="1:31" s="27" customFormat="1" ht="18" customHeight="1">
      <c r="A103" s="67"/>
      <c r="B103" s="63"/>
      <c r="C103" s="63"/>
      <c r="D103" s="95"/>
      <c r="E103" s="63"/>
      <c r="F103" s="63"/>
      <c r="G103" s="2"/>
      <c r="I103" s="63"/>
      <c r="J103" s="63"/>
      <c r="L103" s="70"/>
      <c r="M103" s="63"/>
      <c r="N103" s="63"/>
      <c r="O103" s="63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 spans="1:31" s="27" customFormat="1" ht="18" customHeight="1">
      <c r="A104" s="67"/>
      <c r="B104" s="63"/>
      <c r="C104" s="63"/>
      <c r="D104" s="95"/>
      <c r="E104" s="63"/>
      <c r="F104" s="63"/>
      <c r="G104" s="2"/>
      <c r="I104" s="63"/>
      <c r="J104" s="63"/>
      <c r="L104" s="70"/>
      <c r="M104" s="63"/>
      <c r="N104" s="63"/>
      <c r="O104" s="63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 spans="1:31" s="27" customFormat="1" ht="18" customHeight="1">
      <c r="A105" s="67"/>
      <c r="B105" s="63"/>
      <c r="C105" s="63"/>
      <c r="D105" s="95"/>
      <c r="E105" s="63"/>
      <c r="F105" s="63"/>
      <c r="G105" s="2"/>
      <c r="I105" s="63"/>
      <c r="J105" s="63"/>
      <c r="L105" s="70"/>
      <c r="M105" s="63"/>
      <c r="N105" s="63"/>
      <c r="O105" s="63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 spans="1:31" s="27" customFormat="1" ht="18" customHeight="1">
      <c r="A106" s="67"/>
      <c r="B106" s="63"/>
      <c r="C106" s="63"/>
      <c r="D106" s="95"/>
      <c r="E106" s="63"/>
      <c r="F106" s="63"/>
      <c r="G106" s="2"/>
      <c r="I106" s="63"/>
      <c r="J106" s="63"/>
      <c r="L106" s="70"/>
      <c r="M106" s="63"/>
      <c r="N106" s="63"/>
      <c r="O106" s="63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 spans="1:31" s="27" customFormat="1" ht="18" customHeight="1">
      <c r="A107" s="67"/>
      <c r="B107" s="63"/>
      <c r="C107" s="63"/>
      <c r="D107" s="95"/>
      <c r="E107" s="63"/>
      <c r="F107" s="63"/>
      <c r="G107" s="2"/>
      <c r="I107" s="63"/>
      <c r="J107" s="63"/>
      <c r="L107" s="70"/>
      <c r="M107" s="63"/>
      <c r="N107" s="63"/>
      <c r="O107" s="63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 spans="1:31" s="27" customFormat="1" ht="18" customHeight="1">
      <c r="A108" s="67"/>
      <c r="B108" s="63"/>
      <c r="C108" s="63"/>
      <c r="D108" s="95"/>
      <c r="E108" s="63"/>
      <c r="F108" s="63"/>
      <c r="G108" s="2"/>
      <c r="I108" s="63"/>
      <c r="J108" s="63"/>
      <c r="L108" s="70"/>
      <c r="M108" s="63"/>
      <c r="N108" s="63"/>
      <c r="O108" s="63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 spans="1:31" s="27" customFormat="1" ht="18" customHeight="1">
      <c r="A109" s="67"/>
      <c r="B109" s="63"/>
      <c r="C109" s="63"/>
      <c r="D109" s="95"/>
      <c r="E109" s="63"/>
      <c r="F109" s="63"/>
      <c r="G109" s="2"/>
      <c r="I109" s="63"/>
      <c r="J109" s="63"/>
      <c r="L109" s="70"/>
      <c r="M109" s="63"/>
      <c r="N109" s="63"/>
      <c r="O109" s="63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 spans="1:31" s="27" customFormat="1" ht="18" customHeight="1">
      <c r="A110" s="67"/>
      <c r="B110" s="63"/>
      <c r="C110" s="63"/>
      <c r="D110" s="95"/>
      <c r="E110" s="63"/>
      <c r="F110" s="63"/>
      <c r="G110" s="2"/>
      <c r="I110" s="63"/>
      <c r="J110" s="63"/>
      <c r="L110" s="70"/>
      <c r="M110" s="63"/>
      <c r="N110" s="63"/>
      <c r="O110" s="63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 spans="1:31" s="27" customFormat="1" ht="18" customHeight="1">
      <c r="A111" s="67"/>
      <c r="B111" s="63"/>
      <c r="C111" s="63"/>
      <c r="D111" s="95"/>
      <c r="E111" s="63"/>
      <c r="F111" s="63"/>
      <c r="G111" s="2"/>
      <c r="I111" s="63"/>
      <c r="J111" s="63"/>
      <c r="L111" s="70"/>
      <c r="M111" s="63"/>
      <c r="N111" s="63"/>
      <c r="O111" s="63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 spans="1:31" s="27" customFormat="1" ht="18" customHeight="1">
      <c r="A112" s="67"/>
      <c r="B112" s="63"/>
      <c r="C112" s="63"/>
      <c r="D112" s="95"/>
      <c r="E112" s="63"/>
      <c r="F112" s="63"/>
      <c r="G112" s="2"/>
      <c r="I112" s="63"/>
      <c r="J112" s="63"/>
      <c r="L112" s="70"/>
      <c r="M112" s="63"/>
      <c r="N112" s="63"/>
      <c r="O112" s="63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 spans="1:31" s="27" customFormat="1" ht="18" customHeight="1">
      <c r="A113" s="67"/>
      <c r="B113" s="63"/>
      <c r="C113" s="63"/>
      <c r="D113" s="95"/>
      <c r="E113" s="63"/>
      <c r="F113" s="63"/>
      <c r="G113" s="2"/>
      <c r="I113" s="63"/>
      <c r="J113" s="63"/>
      <c r="L113" s="70"/>
      <c r="M113" s="63"/>
      <c r="N113" s="63"/>
      <c r="O113" s="63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 spans="1:31" s="27" customFormat="1" ht="18" customHeight="1">
      <c r="A114" s="67"/>
      <c r="B114" s="63"/>
      <c r="C114" s="63"/>
      <c r="D114" s="95"/>
      <c r="E114" s="63"/>
      <c r="F114" s="63"/>
      <c r="G114" s="2"/>
      <c r="I114" s="63"/>
      <c r="J114" s="63"/>
      <c r="L114" s="70"/>
      <c r="M114" s="63"/>
      <c r="N114" s="63"/>
      <c r="O114" s="63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 spans="1:31" s="27" customFormat="1" ht="18" customHeight="1">
      <c r="A115" s="67"/>
      <c r="B115" s="63"/>
      <c r="C115" s="63"/>
      <c r="D115" s="95"/>
      <c r="E115" s="63"/>
      <c r="F115" s="63"/>
      <c r="G115" s="2"/>
      <c r="I115" s="63"/>
      <c r="J115" s="63"/>
      <c r="L115" s="70"/>
      <c r="M115" s="63"/>
      <c r="N115" s="63"/>
      <c r="O115" s="63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 spans="1:31" s="27" customFormat="1" ht="18" customHeight="1">
      <c r="A116" s="67"/>
      <c r="B116" s="63"/>
      <c r="C116" s="63"/>
      <c r="D116" s="95"/>
      <c r="E116" s="63"/>
      <c r="F116" s="63"/>
      <c r="G116" s="2"/>
      <c r="I116" s="63"/>
      <c r="J116" s="63"/>
      <c r="L116" s="70"/>
      <c r="M116" s="63"/>
      <c r="N116" s="63"/>
      <c r="O116" s="63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 spans="1:31" s="27" customFormat="1" ht="18" customHeight="1">
      <c r="A117" s="67"/>
      <c r="B117" s="63"/>
      <c r="C117" s="63"/>
      <c r="D117" s="95"/>
      <c r="E117" s="63"/>
      <c r="F117" s="63"/>
      <c r="G117" s="2"/>
      <c r="I117" s="63"/>
      <c r="J117" s="63"/>
      <c r="L117" s="70"/>
      <c r="M117" s="63"/>
      <c r="N117" s="63"/>
      <c r="O117" s="63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 spans="1:31" s="27" customFormat="1" ht="18" customHeight="1">
      <c r="A118" s="67"/>
      <c r="B118" s="63"/>
      <c r="C118" s="63"/>
      <c r="D118" s="95"/>
      <c r="E118" s="63"/>
      <c r="F118" s="63"/>
      <c r="G118" s="2"/>
      <c r="I118" s="63"/>
      <c r="J118" s="63"/>
      <c r="L118" s="70"/>
      <c r="M118" s="63"/>
      <c r="N118" s="63"/>
      <c r="O118" s="63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 spans="1:31" s="27" customFormat="1" ht="18" customHeight="1">
      <c r="A119" s="67"/>
      <c r="B119" s="63"/>
      <c r="C119" s="63"/>
      <c r="D119" s="95"/>
      <c r="E119" s="63"/>
      <c r="F119" s="63"/>
      <c r="G119" s="2"/>
      <c r="I119" s="63"/>
      <c r="J119" s="63"/>
      <c r="L119" s="70"/>
      <c r="M119" s="63"/>
      <c r="N119" s="63"/>
      <c r="O119" s="63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 spans="1:31" s="27" customFormat="1" ht="18" customHeight="1">
      <c r="A120" s="67"/>
      <c r="B120" s="63"/>
      <c r="C120" s="63"/>
      <c r="D120" s="95"/>
      <c r="E120" s="63"/>
      <c r="F120" s="63"/>
      <c r="G120" s="2"/>
      <c r="I120" s="63"/>
      <c r="J120" s="63"/>
      <c r="L120" s="70"/>
      <c r="M120" s="63"/>
      <c r="N120" s="63"/>
      <c r="O120" s="63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 spans="1:31" s="27" customFormat="1" ht="18" customHeight="1">
      <c r="A121" s="67"/>
      <c r="B121" s="63"/>
      <c r="C121" s="63"/>
      <c r="D121" s="95"/>
      <c r="E121" s="63"/>
      <c r="F121" s="63"/>
      <c r="G121" s="2"/>
      <c r="I121" s="63"/>
      <c r="J121" s="63"/>
      <c r="L121" s="70"/>
      <c r="M121" s="63"/>
      <c r="N121" s="63"/>
      <c r="O121" s="63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 spans="1:31" s="27" customFormat="1" ht="18" customHeight="1">
      <c r="A122" s="67"/>
      <c r="B122" s="63"/>
      <c r="C122" s="63"/>
      <c r="D122" s="95"/>
      <c r="E122" s="63"/>
      <c r="F122" s="63"/>
      <c r="G122" s="2"/>
      <c r="I122" s="63"/>
      <c r="J122" s="63"/>
      <c r="L122" s="70"/>
      <c r="M122" s="63"/>
      <c r="N122" s="63"/>
      <c r="O122" s="63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 spans="1:31" s="27" customFormat="1" ht="18" customHeight="1">
      <c r="A123" s="67"/>
      <c r="B123" s="63"/>
      <c r="C123" s="63"/>
      <c r="D123" s="95"/>
      <c r="E123" s="63"/>
      <c r="F123" s="63"/>
      <c r="G123" s="2"/>
      <c r="I123" s="63"/>
      <c r="J123" s="63"/>
      <c r="L123" s="70"/>
      <c r="M123" s="63"/>
      <c r="N123" s="63"/>
      <c r="O123" s="63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 spans="1:31" s="27" customFormat="1" ht="18" customHeight="1">
      <c r="A124" s="67"/>
      <c r="B124" s="63"/>
      <c r="C124" s="63"/>
      <c r="D124" s="95"/>
      <c r="E124" s="63"/>
      <c r="F124" s="63"/>
      <c r="G124" s="2"/>
      <c r="I124" s="63"/>
      <c r="J124" s="63"/>
      <c r="L124" s="70"/>
      <c r="M124" s="63"/>
      <c r="N124" s="63"/>
      <c r="O124" s="63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 spans="1:31" s="27" customFormat="1" ht="18" customHeight="1">
      <c r="A125" s="67"/>
      <c r="B125" s="63"/>
      <c r="C125" s="63"/>
      <c r="D125" s="95"/>
      <c r="E125" s="63"/>
      <c r="F125" s="63"/>
      <c r="G125" s="2"/>
      <c r="I125" s="63"/>
      <c r="J125" s="63"/>
      <c r="L125" s="70"/>
      <c r="M125" s="63"/>
      <c r="N125" s="63"/>
      <c r="O125" s="63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 spans="1:31" s="27" customFormat="1" ht="18" customHeight="1">
      <c r="A126" s="67"/>
      <c r="B126" s="63"/>
      <c r="C126" s="63"/>
      <c r="D126" s="95"/>
      <c r="E126" s="63"/>
      <c r="F126" s="63"/>
      <c r="G126" s="2"/>
      <c r="I126" s="63"/>
      <c r="J126" s="63"/>
      <c r="L126" s="70"/>
      <c r="M126" s="63"/>
      <c r="N126" s="63"/>
      <c r="O126" s="63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 spans="1:31" s="27" customFormat="1" ht="18" customHeight="1">
      <c r="A127" s="67"/>
      <c r="B127" s="63"/>
      <c r="C127" s="63"/>
      <c r="D127" s="95"/>
      <c r="E127" s="63"/>
      <c r="F127" s="63"/>
      <c r="G127" s="2"/>
      <c r="I127" s="63"/>
      <c r="J127" s="63"/>
      <c r="L127" s="70"/>
      <c r="M127" s="63"/>
      <c r="N127" s="63"/>
      <c r="O127" s="63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 spans="1:31" s="27" customFormat="1" ht="18" customHeight="1">
      <c r="A128" s="67"/>
      <c r="B128" s="63"/>
      <c r="C128" s="63"/>
      <c r="D128" s="95"/>
      <c r="E128" s="63"/>
      <c r="F128" s="63"/>
      <c r="G128" s="2"/>
      <c r="I128" s="63"/>
      <c r="J128" s="63"/>
      <c r="L128" s="70"/>
      <c r="M128" s="63"/>
      <c r="N128" s="63"/>
      <c r="O128" s="63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 spans="1:31" s="27" customFormat="1" ht="18" customHeight="1">
      <c r="A129" s="67"/>
      <c r="B129" s="63"/>
      <c r="C129" s="63"/>
      <c r="D129" s="95"/>
      <c r="E129" s="63"/>
      <c r="F129" s="63"/>
      <c r="G129" s="2"/>
      <c r="I129" s="63"/>
      <c r="J129" s="63"/>
      <c r="L129" s="70"/>
      <c r="M129" s="63"/>
      <c r="N129" s="63"/>
      <c r="O129" s="63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 spans="1:31" s="27" customFormat="1" ht="18" customHeight="1">
      <c r="A130" s="67"/>
      <c r="B130" s="63"/>
      <c r="C130" s="63"/>
      <c r="D130" s="95"/>
      <c r="E130" s="63"/>
      <c r="F130" s="63"/>
      <c r="G130" s="2"/>
      <c r="I130" s="63"/>
      <c r="J130" s="63"/>
      <c r="L130" s="70"/>
      <c r="M130" s="63"/>
      <c r="N130" s="63"/>
      <c r="O130" s="63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 spans="1:31" s="27" customFormat="1" ht="18" customHeight="1">
      <c r="A131" s="67"/>
      <c r="B131" s="63"/>
      <c r="C131" s="63"/>
      <c r="D131" s="95"/>
      <c r="E131" s="63"/>
      <c r="F131" s="63"/>
      <c r="G131" s="2"/>
      <c r="I131" s="63"/>
      <c r="J131" s="63"/>
      <c r="L131" s="70"/>
      <c r="M131" s="63"/>
      <c r="N131" s="63"/>
      <c r="O131" s="63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 spans="1:31" s="27" customFormat="1" ht="18" customHeight="1">
      <c r="A132" s="67"/>
      <c r="B132" s="63"/>
      <c r="C132" s="63"/>
      <c r="D132" s="95"/>
      <c r="E132" s="63"/>
      <c r="F132" s="63"/>
      <c r="G132" s="2"/>
      <c r="I132" s="63"/>
      <c r="J132" s="63"/>
      <c r="L132" s="70"/>
      <c r="M132" s="63"/>
      <c r="N132" s="63"/>
      <c r="O132" s="63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 spans="1:31" s="27" customFormat="1" ht="18" customHeight="1">
      <c r="A133" s="67"/>
      <c r="B133" s="63"/>
      <c r="C133" s="63"/>
      <c r="D133" s="95"/>
      <c r="E133" s="63"/>
      <c r="F133" s="63"/>
      <c r="G133" s="2"/>
      <c r="I133" s="63"/>
      <c r="J133" s="63"/>
      <c r="L133" s="70"/>
      <c r="M133" s="63"/>
      <c r="N133" s="63"/>
      <c r="O133" s="63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 spans="1:31" s="27" customFormat="1" ht="18" customHeight="1">
      <c r="A134" s="67"/>
      <c r="B134" s="63"/>
      <c r="C134" s="63"/>
      <c r="D134" s="95"/>
      <c r="E134" s="63"/>
      <c r="F134" s="63"/>
      <c r="G134" s="2"/>
      <c r="I134" s="63"/>
      <c r="J134" s="63"/>
      <c r="L134" s="70"/>
      <c r="M134" s="63"/>
      <c r="N134" s="63"/>
      <c r="O134" s="63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 spans="1:31" s="27" customFormat="1" ht="18" customHeight="1">
      <c r="A135" s="67"/>
      <c r="B135" s="63"/>
      <c r="C135" s="63"/>
      <c r="D135" s="95"/>
      <c r="E135" s="63"/>
      <c r="F135" s="63"/>
      <c r="G135" s="2"/>
      <c r="I135" s="63"/>
      <c r="J135" s="63"/>
      <c r="L135" s="70"/>
      <c r="M135" s="63"/>
      <c r="N135" s="63"/>
      <c r="O135" s="63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 spans="1:31" s="27" customFormat="1" ht="18" customHeight="1">
      <c r="A136" s="67"/>
      <c r="B136" s="63"/>
      <c r="C136" s="63"/>
      <c r="D136" s="95"/>
      <c r="E136" s="63"/>
      <c r="F136" s="63"/>
      <c r="G136" s="2"/>
      <c r="I136" s="63"/>
      <c r="J136" s="63"/>
      <c r="L136" s="70"/>
      <c r="M136" s="63"/>
      <c r="N136" s="63"/>
      <c r="O136" s="63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 spans="1:31" s="27" customFormat="1" ht="18" customHeight="1">
      <c r="A137" s="67"/>
      <c r="B137" s="63"/>
      <c r="C137" s="63"/>
      <c r="D137" s="95"/>
      <c r="E137" s="63"/>
      <c r="F137" s="63"/>
      <c r="G137" s="2"/>
      <c r="I137" s="63"/>
      <c r="J137" s="63"/>
      <c r="L137" s="70"/>
      <c r="M137" s="63"/>
      <c r="N137" s="63"/>
      <c r="O137" s="63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 spans="1:31" s="27" customFormat="1" ht="18" customHeight="1">
      <c r="A138" s="67"/>
      <c r="B138" s="63"/>
      <c r="C138" s="63"/>
      <c r="D138" s="95"/>
      <c r="E138" s="63"/>
      <c r="F138" s="63"/>
      <c r="G138" s="2"/>
      <c r="I138" s="63"/>
      <c r="J138" s="63"/>
      <c r="L138" s="70"/>
      <c r="M138" s="63"/>
      <c r="N138" s="63"/>
      <c r="O138" s="63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 spans="1:31" s="27" customFormat="1" ht="18" customHeight="1">
      <c r="A139" s="67"/>
      <c r="B139" s="63"/>
      <c r="C139" s="63"/>
      <c r="D139" s="95"/>
      <c r="E139" s="63"/>
      <c r="F139" s="63"/>
      <c r="G139" s="2"/>
      <c r="I139" s="63"/>
      <c r="J139" s="63"/>
      <c r="L139" s="70"/>
      <c r="M139" s="63"/>
      <c r="N139" s="63"/>
      <c r="O139" s="63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 spans="1:31" s="27" customFormat="1" ht="18" customHeight="1">
      <c r="A140" s="67"/>
      <c r="B140" s="63"/>
      <c r="C140" s="63"/>
      <c r="D140" s="95"/>
      <c r="E140" s="63"/>
      <c r="F140" s="63"/>
      <c r="G140" s="2"/>
      <c r="I140" s="63"/>
      <c r="J140" s="63"/>
      <c r="L140" s="70"/>
      <c r="M140" s="63"/>
      <c r="N140" s="63"/>
      <c r="O140" s="63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 spans="1:31" s="27" customFormat="1" ht="18" customHeight="1">
      <c r="A141" s="67"/>
      <c r="B141" s="63"/>
      <c r="C141" s="63"/>
      <c r="D141" s="95"/>
      <c r="E141" s="63"/>
      <c r="F141" s="63"/>
      <c r="G141" s="2"/>
      <c r="I141" s="63"/>
      <c r="J141" s="63"/>
      <c r="L141" s="70"/>
      <c r="M141" s="63"/>
      <c r="N141" s="63"/>
      <c r="O141" s="63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 spans="1:31" s="27" customFormat="1" ht="18" customHeight="1">
      <c r="A142" s="67"/>
      <c r="B142" s="63"/>
      <c r="C142" s="63"/>
      <c r="D142" s="95"/>
      <c r="E142" s="63"/>
      <c r="F142" s="63"/>
      <c r="G142" s="2"/>
      <c r="I142" s="63"/>
      <c r="J142" s="63"/>
      <c r="L142" s="70"/>
      <c r="M142" s="63"/>
      <c r="N142" s="63"/>
      <c r="O142" s="63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 spans="1:31" s="27" customFormat="1" ht="18" customHeight="1">
      <c r="A143" s="67"/>
      <c r="B143" s="63"/>
      <c r="C143" s="63"/>
      <c r="D143" s="95"/>
      <c r="E143" s="63"/>
      <c r="F143" s="63"/>
      <c r="G143" s="2"/>
      <c r="I143" s="63"/>
      <c r="J143" s="63"/>
      <c r="L143" s="70"/>
      <c r="M143" s="63"/>
      <c r="N143" s="63"/>
      <c r="O143" s="63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 spans="1:31" s="27" customFormat="1" ht="18" customHeight="1">
      <c r="A144" s="67"/>
      <c r="B144" s="63"/>
      <c r="C144" s="63"/>
      <c r="D144" s="95"/>
      <c r="E144" s="63"/>
      <c r="F144" s="63"/>
      <c r="G144" s="2"/>
      <c r="I144" s="63"/>
      <c r="J144" s="63"/>
      <c r="L144" s="70"/>
      <c r="M144" s="63"/>
      <c r="N144" s="63"/>
      <c r="O144" s="63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 spans="1:31" s="27" customFormat="1" ht="18" customHeight="1">
      <c r="A145" s="67"/>
      <c r="B145" s="63"/>
      <c r="C145" s="63"/>
      <c r="D145" s="95"/>
      <c r="E145" s="63"/>
      <c r="F145" s="63"/>
      <c r="G145" s="2"/>
      <c r="I145" s="63"/>
      <c r="J145" s="63"/>
      <c r="L145" s="70"/>
      <c r="M145" s="63"/>
      <c r="N145" s="63"/>
      <c r="O145" s="63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 spans="1:31" s="27" customFormat="1" ht="18" customHeight="1">
      <c r="A146" s="67"/>
      <c r="B146" s="63"/>
      <c r="C146" s="63"/>
      <c r="D146" s="95"/>
      <c r="E146" s="63"/>
      <c r="F146" s="63"/>
      <c r="G146" s="2"/>
      <c r="I146" s="63"/>
      <c r="J146" s="63"/>
      <c r="L146" s="70"/>
      <c r="M146" s="63"/>
      <c r="N146" s="63"/>
      <c r="O146" s="63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 spans="1:31" s="27" customFormat="1" ht="18" customHeight="1">
      <c r="A147" s="67"/>
      <c r="B147" s="63"/>
      <c r="C147" s="63"/>
      <c r="D147" s="95"/>
      <c r="E147" s="63"/>
      <c r="F147" s="63"/>
      <c r="G147" s="2"/>
      <c r="I147" s="63"/>
      <c r="J147" s="63"/>
      <c r="L147" s="70"/>
      <c r="M147" s="63"/>
      <c r="N147" s="63"/>
      <c r="O147" s="63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 spans="1:31" s="27" customFormat="1" ht="18" customHeight="1">
      <c r="A148" s="67"/>
      <c r="B148" s="63"/>
      <c r="C148" s="63"/>
      <c r="D148" s="95"/>
      <c r="E148" s="63"/>
      <c r="F148" s="63"/>
      <c r="G148" s="2"/>
      <c r="I148" s="63"/>
      <c r="J148" s="63"/>
      <c r="L148" s="70"/>
      <c r="M148" s="63"/>
      <c r="N148" s="63"/>
      <c r="O148" s="63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 spans="1:31" s="27" customFormat="1" ht="18" customHeight="1">
      <c r="A149" s="67"/>
      <c r="B149" s="63"/>
      <c r="C149" s="63"/>
      <c r="D149" s="95"/>
      <c r="E149" s="63"/>
      <c r="F149" s="63"/>
      <c r="G149" s="2"/>
      <c r="I149" s="63"/>
      <c r="J149" s="63"/>
      <c r="L149" s="70"/>
      <c r="M149" s="63"/>
      <c r="N149" s="63"/>
      <c r="O149" s="63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 spans="1:31" s="27" customFormat="1" ht="18" customHeight="1">
      <c r="A150" s="67"/>
      <c r="B150" s="63"/>
      <c r="C150" s="63"/>
      <c r="D150" s="95"/>
      <c r="E150" s="63"/>
      <c r="F150" s="63"/>
      <c r="G150" s="2"/>
      <c r="I150" s="63"/>
      <c r="J150" s="63"/>
      <c r="L150" s="70"/>
      <c r="M150" s="63"/>
      <c r="N150" s="63"/>
      <c r="O150" s="63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 spans="1:31" s="27" customFormat="1" ht="18" customHeight="1">
      <c r="A151" s="67"/>
      <c r="B151" s="63"/>
      <c r="C151" s="63"/>
      <c r="D151" s="95"/>
      <c r="E151" s="63"/>
      <c r="F151" s="63"/>
      <c r="G151" s="2"/>
      <c r="I151" s="63"/>
      <c r="J151" s="63"/>
      <c r="L151" s="70"/>
      <c r="M151" s="63"/>
      <c r="N151" s="63"/>
      <c r="O151" s="63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 spans="1:31" s="27" customFormat="1" ht="18" customHeight="1">
      <c r="A152" s="67"/>
      <c r="B152" s="63"/>
      <c r="C152" s="63"/>
      <c r="D152" s="95"/>
      <c r="E152" s="63"/>
      <c r="F152" s="63"/>
      <c r="G152" s="2"/>
      <c r="I152" s="63"/>
      <c r="J152" s="63"/>
      <c r="L152" s="70"/>
      <c r="M152" s="63"/>
      <c r="N152" s="63"/>
      <c r="O152" s="63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 spans="1:31" s="27" customFormat="1" ht="18" customHeight="1">
      <c r="A153" s="67"/>
      <c r="B153" s="63"/>
      <c r="C153" s="63"/>
      <c r="D153" s="95"/>
      <c r="E153" s="63"/>
      <c r="F153" s="63"/>
      <c r="G153" s="2"/>
      <c r="I153" s="63"/>
      <c r="J153" s="63"/>
      <c r="L153" s="70"/>
      <c r="M153" s="63"/>
      <c r="N153" s="63"/>
      <c r="O153" s="63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 spans="1:31" s="27" customFormat="1" ht="18" customHeight="1">
      <c r="A154" s="67"/>
      <c r="B154" s="63"/>
      <c r="C154" s="63"/>
      <c r="D154" s="95"/>
      <c r="E154" s="63"/>
      <c r="F154" s="63"/>
      <c r="G154" s="2"/>
      <c r="I154" s="63"/>
      <c r="J154" s="63"/>
      <c r="L154" s="70"/>
      <c r="M154" s="63"/>
      <c r="N154" s="63"/>
      <c r="O154" s="63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 spans="1:31" s="27" customFormat="1" ht="18" customHeight="1">
      <c r="A155" s="67"/>
      <c r="B155" s="63"/>
      <c r="C155" s="63"/>
      <c r="D155" s="95"/>
      <c r="E155" s="63"/>
      <c r="F155" s="63"/>
      <c r="G155" s="2"/>
      <c r="I155" s="63"/>
      <c r="J155" s="63"/>
      <c r="L155" s="70"/>
      <c r="M155" s="63"/>
      <c r="N155" s="63"/>
      <c r="O155" s="63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 spans="1:31" s="27" customFormat="1" ht="18" customHeight="1">
      <c r="A156" s="67"/>
      <c r="B156" s="63"/>
      <c r="C156" s="63"/>
      <c r="D156" s="95"/>
      <c r="E156" s="63"/>
      <c r="F156" s="63"/>
      <c r="G156" s="2"/>
      <c r="I156" s="63"/>
      <c r="J156" s="63"/>
      <c r="L156" s="70"/>
      <c r="M156" s="63"/>
      <c r="N156" s="63"/>
      <c r="O156" s="63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 spans="1:31" s="27" customFormat="1" ht="18" customHeight="1">
      <c r="A157" s="67"/>
      <c r="B157" s="63"/>
      <c r="C157" s="63"/>
      <c r="D157" s="95"/>
      <c r="E157" s="63"/>
      <c r="F157" s="63"/>
      <c r="G157" s="2"/>
      <c r="I157" s="63"/>
      <c r="J157" s="63"/>
      <c r="L157" s="70"/>
      <c r="M157" s="63"/>
      <c r="N157" s="63"/>
      <c r="O157" s="63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 spans="1:31" s="27" customFormat="1" ht="18" customHeight="1">
      <c r="A158" s="67"/>
      <c r="B158" s="63"/>
      <c r="C158" s="63"/>
      <c r="D158" s="95"/>
      <c r="E158" s="63"/>
      <c r="F158" s="63"/>
      <c r="G158" s="2"/>
      <c r="I158" s="63"/>
      <c r="J158" s="63"/>
      <c r="L158" s="70"/>
      <c r="M158" s="63"/>
      <c r="N158" s="63"/>
      <c r="O158" s="63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 spans="1:31" s="27" customFormat="1" ht="18" customHeight="1">
      <c r="A159" s="67"/>
      <c r="B159" s="63"/>
      <c r="C159" s="63"/>
      <c r="D159" s="95"/>
      <c r="E159" s="63"/>
      <c r="F159" s="63"/>
      <c r="G159" s="2"/>
      <c r="I159" s="63"/>
      <c r="J159" s="63"/>
      <c r="L159" s="70"/>
      <c r="M159" s="63"/>
      <c r="N159" s="63"/>
      <c r="O159" s="63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 spans="1:31" s="27" customFormat="1" ht="18" customHeight="1">
      <c r="A160" s="67"/>
      <c r="B160" s="63"/>
      <c r="C160" s="63"/>
      <c r="D160" s="95"/>
      <c r="E160" s="63"/>
      <c r="F160" s="63"/>
      <c r="G160" s="2"/>
      <c r="I160" s="63"/>
      <c r="J160" s="63"/>
      <c r="L160" s="70"/>
      <c r="M160" s="63"/>
      <c r="N160" s="63"/>
      <c r="O160" s="63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 spans="1:31" s="27" customFormat="1" ht="18" customHeight="1">
      <c r="A161" s="67"/>
      <c r="B161" s="63"/>
      <c r="C161" s="63"/>
      <c r="D161" s="95"/>
      <c r="E161" s="63"/>
      <c r="F161" s="63"/>
      <c r="G161" s="2"/>
      <c r="I161" s="63"/>
      <c r="J161" s="63"/>
      <c r="L161" s="70"/>
      <c r="M161" s="63"/>
      <c r="N161" s="63"/>
      <c r="O161" s="63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 spans="1:31" s="27" customFormat="1" ht="18" customHeight="1">
      <c r="A162" s="67"/>
      <c r="B162" s="63"/>
      <c r="C162" s="63"/>
      <c r="D162" s="95"/>
      <c r="E162" s="63"/>
      <c r="F162" s="63"/>
      <c r="G162" s="2"/>
      <c r="I162" s="63"/>
      <c r="J162" s="63"/>
      <c r="L162" s="70"/>
      <c r="M162" s="63"/>
      <c r="N162" s="63"/>
      <c r="O162" s="63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 spans="1:31" s="27" customFormat="1" ht="18" customHeight="1">
      <c r="A163" s="67"/>
      <c r="B163" s="63"/>
      <c r="C163" s="63"/>
      <c r="D163" s="95"/>
      <c r="E163" s="63"/>
      <c r="F163" s="63"/>
      <c r="G163" s="2"/>
      <c r="I163" s="63"/>
      <c r="J163" s="63"/>
      <c r="L163" s="70"/>
      <c r="M163" s="63"/>
      <c r="N163" s="63"/>
      <c r="O163" s="63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 spans="1:31" s="27" customFormat="1" ht="18" customHeight="1">
      <c r="A164" s="67"/>
      <c r="B164" s="63"/>
      <c r="C164" s="63"/>
      <c r="D164" s="95"/>
      <c r="E164" s="63"/>
      <c r="F164" s="63"/>
      <c r="G164" s="2"/>
      <c r="I164" s="63"/>
      <c r="J164" s="63"/>
      <c r="L164" s="70"/>
      <c r="M164" s="63"/>
      <c r="N164" s="63"/>
      <c r="O164" s="63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 spans="1:31" s="27" customFormat="1" ht="18" customHeight="1">
      <c r="A165" s="67"/>
      <c r="B165" s="63"/>
      <c r="C165" s="63"/>
      <c r="D165" s="95"/>
      <c r="E165" s="63"/>
      <c r="F165" s="63"/>
      <c r="G165" s="2"/>
      <c r="I165" s="63"/>
      <c r="J165" s="63"/>
      <c r="L165" s="70"/>
      <c r="M165" s="63"/>
      <c r="N165" s="63"/>
      <c r="O165" s="63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 spans="1:31" s="27" customFormat="1" ht="18" customHeight="1">
      <c r="A166" s="67"/>
      <c r="B166" s="63"/>
      <c r="C166" s="63"/>
      <c r="D166" s="95"/>
      <c r="E166" s="63"/>
      <c r="F166" s="63"/>
      <c r="G166" s="2"/>
      <c r="I166" s="63"/>
      <c r="J166" s="63"/>
      <c r="L166" s="70"/>
      <c r="M166" s="63"/>
      <c r="N166" s="63"/>
      <c r="O166" s="63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 spans="1:31" s="27" customFormat="1" ht="18" customHeight="1">
      <c r="A167" s="67"/>
      <c r="B167" s="63"/>
      <c r="C167" s="63"/>
      <c r="D167" s="95"/>
      <c r="E167" s="63"/>
      <c r="F167" s="63"/>
      <c r="G167" s="2"/>
      <c r="I167" s="63"/>
      <c r="J167" s="63"/>
      <c r="L167" s="70"/>
      <c r="M167" s="63"/>
      <c r="N167" s="63"/>
      <c r="O167" s="63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 spans="1:31" s="27" customFormat="1" ht="18" customHeight="1">
      <c r="A168" s="67"/>
      <c r="B168" s="63"/>
      <c r="C168" s="63"/>
      <c r="D168" s="95"/>
      <c r="E168" s="63"/>
      <c r="F168" s="63"/>
      <c r="G168" s="2"/>
      <c r="I168" s="63"/>
      <c r="J168" s="63"/>
      <c r="L168" s="70"/>
      <c r="M168" s="63"/>
      <c r="N168" s="63"/>
      <c r="O168" s="63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 spans="1:31" s="27" customFormat="1" ht="18" customHeight="1">
      <c r="A169" s="67"/>
      <c r="B169" s="63"/>
      <c r="C169" s="63"/>
      <c r="D169" s="95"/>
      <c r="E169" s="63"/>
      <c r="F169" s="63"/>
      <c r="G169" s="2"/>
      <c r="I169" s="63"/>
      <c r="J169" s="63"/>
      <c r="L169" s="70"/>
      <c r="M169" s="63"/>
      <c r="N169" s="63"/>
      <c r="O169" s="63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 spans="1:31" s="27" customFormat="1" ht="18" customHeight="1">
      <c r="A170" s="67"/>
      <c r="B170" s="63"/>
      <c r="C170" s="63"/>
      <c r="D170" s="95"/>
      <c r="E170" s="63"/>
      <c r="F170" s="63"/>
      <c r="G170" s="2"/>
      <c r="I170" s="63"/>
      <c r="J170" s="63"/>
      <c r="L170" s="70"/>
      <c r="M170" s="63"/>
      <c r="N170" s="63"/>
      <c r="O170" s="63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 spans="1:31" s="27" customFormat="1" ht="18" customHeight="1">
      <c r="A171" s="67"/>
      <c r="B171" s="63"/>
      <c r="C171" s="63"/>
      <c r="D171" s="95"/>
      <c r="E171" s="63"/>
      <c r="F171" s="63"/>
      <c r="G171" s="2"/>
      <c r="I171" s="63"/>
      <c r="J171" s="63"/>
      <c r="L171" s="70"/>
      <c r="M171" s="63"/>
      <c r="N171" s="63"/>
      <c r="O171" s="63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 spans="1:31" s="27" customFormat="1" ht="18" customHeight="1">
      <c r="A172" s="67"/>
      <c r="B172" s="63"/>
      <c r="C172" s="63"/>
      <c r="D172" s="95"/>
      <c r="E172" s="63"/>
      <c r="F172" s="63"/>
      <c r="G172" s="2"/>
      <c r="I172" s="63"/>
      <c r="J172" s="63"/>
      <c r="L172" s="70"/>
      <c r="M172" s="63"/>
      <c r="N172" s="63"/>
      <c r="O172" s="63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 spans="1:31" s="27" customFormat="1" ht="18" customHeight="1">
      <c r="A173" s="67"/>
      <c r="B173" s="63"/>
      <c r="C173" s="63"/>
      <c r="D173" s="95"/>
      <c r="E173" s="63"/>
      <c r="F173" s="63"/>
      <c r="G173" s="2"/>
      <c r="I173" s="63"/>
      <c r="J173" s="63"/>
      <c r="L173" s="70"/>
      <c r="M173" s="63"/>
      <c r="N173" s="63"/>
      <c r="O173" s="63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 spans="1:31" s="27" customFormat="1" ht="18" customHeight="1">
      <c r="A174" s="67"/>
      <c r="B174" s="63"/>
      <c r="C174" s="63"/>
      <c r="D174" s="95"/>
      <c r="E174" s="63"/>
      <c r="F174" s="63"/>
      <c r="G174" s="2"/>
      <c r="I174" s="63"/>
      <c r="J174" s="63"/>
      <c r="L174" s="70"/>
      <c r="M174" s="63"/>
      <c r="N174" s="63"/>
      <c r="O174" s="63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 spans="1:31" s="27" customFormat="1" ht="18" customHeight="1">
      <c r="A175" s="67"/>
      <c r="B175" s="63"/>
      <c r="C175" s="63"/>
      <c r="D175" s="95"/>
      <c r="E175" s="63"/>
      <c r="F175" s="63"/>
      <c r="G175" s="2"/>
      <c r="I175" s="63"/>
      <c r="J175" s="63"/>
      <c r="L175" s="70"/>
      <c r="M175" s="63"/>
      <c r="N175" s="63"/>
      <c r="O175" s="63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 spans="1:31" s="27" customFormat="1" ht="18" customHeight="1">
      <c r="A176" s="67"/>
      <c r="B176" s="63"/>
      <c r="C176" s="63"/>
      <c r="D176" s="95"/>
      <c r="E176" s="63"/>
      <c r="F176" s="63"/>
      <c r="G176" s="2"/>
      <c r="I176" s="63"/>
      <c r="J176" s="63"/>
      <c r="L176" s="70"/>
      <c r="M176" s="63"/>
      <c r="N176" s="63"/>
      <c r="O176" s="63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 spans="1:31" s="27" customFormat="1" ht="18" customHeight="1">
      <c r="A177" s="67"/>
      <c r="B177" s="63"/>
      <c r="C177" s="63"/>
      <c r="D177" s="95"/>
      <c r="E177" s="63"/>
      <c r="F177" s="63"/>
      <c r="G177" s="2"/>
      <c r="I177" s="63"/>
      <c r="J177" s="63"/>
      <c r="L177" s="70"/>
      <c r="M177" s="63"/>
      <c r="N177" s="63"/>
      <c r="O177" s="63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 spans="1:31" s="27" customFormat="1" ht="18" customHeight="1">
      <c r="A178" s="67"/>
      <c r="B178" s="63"/>
      <c r="C178" s="63"/>
      <c r="D178" s="95"/>
      <c r="E178" s="63"/>
      <c r="F178" s="63"/>
      <c r="G178" s="2"/>
      <c r="I178" s="63"/>
      <c r="J178" s="63"/>
      <c r="L178" s="70"/>
      <c r="M178" s="63"/>
      <c r="N178" s="63"/>
      <c r="O178" s="63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 spans="1:31" s="27" customFormat="1" ht="18" customHeight="1">
      <c r="A179" s="67"/>
      <c r="B179" s="63"/>
      <c r="C179" s="63"/>
      <c r="D179" s="95"/>
      <c r="E179" s="63"/>
      <c r="F179" s="63"/>
      <c r="G179" s="2"/>
      <c r="I179" s="63"/>
      <c r="J179" s="63"/>
      <c r="L179" s="70"/>
      <c r="M179" s="63"/>
      <c r="N179" s="63"/>
      <c r="O179" s="63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 spans="1:31" s="27" customFormat="1" ht="18" customHeight="1">
      <c r="A180" s="67"/>
      <c r="B180" s="63"/>
      <c r="C180" s="63"/>
      <c r="D180" s="95"/>
      <c r="E180" s="63"/>
      <c r="F180" s="63"/>
      <c r="G180" s="2"/>
      <c r="I180" s="63"/>
      <c r="J180" s="63"/>
      <c r="L180" s="70"/>
      <c r="M180" s="63"/>
      <c r="N180" s="63"/>
      <c r="O180" s="63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 spans="1:31" s="27" customFormat="1" ht="18" customHeight="1">
      <c r="A181" s="67"/>
      <c r="B181" s="63"/>
      <c r="C181" s="63"/>
      <c r="D181" s="95"/>
      <c r="E181" s="63"/>
      <c r="F181" s="63"/>
      <c r="G181" s="2"/>
      <c r="I181" s="63"/>
      <c r="J181" s="63"/>
      <c r="L181" s="70"/>
      <c r="M181" s="63"/>
      <c r="N181" s="63"/>
      <c r="O181" s="63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 spans="1:31" s="27" customFormat="1" ht="18" customHeight="1">
      <c r="A182" s="67"/>
      <c r="B182" s="63"/>
      <c r="C182" s="63"/>
      <c r="D182" s="95"/>
      <c r="E182" s="63"/>
      <c r="F182" s="63"/>
      <c r="G182" s="2"/>
      <c r="I182" s="63"/>
      <c r="J182" s="63"/>
      <c r="L182" s="70"/>
      <c r="M182" s="63"/>
      <c r="N182" s="63"/>
      <c r="O182" s="63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 spans="1:31" s="27" customFormat="1" ht="18" customHeight="1">
      <c r="A183" s="67"/>
      <c r="B183" s="63"/>
      <c r="C183" s="63"/>
      <c r="D183" s="95"/>
      <c r="E183" s="63"/>
      <c r="F183" s="63"/>
      <c r="G183" s="2"/>
      <c r="I183" s="63"/>
      <c r="J183" s="63"/>
      <c r="L183" s="70"/>
      <c r="M183" s="63"/>
      <c r="N183" s="63"/>
      <c r="O183" s="63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 spans="1:31" s="27" customFormat="1" ht="18" customHeight="1">
      <c r="A184" s="67"/>
      <c r="B184" s="63"/>
      <c r="C184" s="63"/>
      <c r="D184" s="95"/>
      <c r="E184" s="63"/>
      <c r="F184" s="63"/>
      <c r="G184" s="2"/>
      <c r="I184" s="63"/>
      <c r="J184" s="63"/>
      <c r="L184" s="70"/>
      <c r="M184" s="63"/>
      <c r="N184" s="63"/>
      <c r="O184" s="63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 spans="1:31" s="63" customFormat="1" ht="18" customHeight="1">
      <c r="A185" s="67"/>
      <c r="D185" s="95"/>
      <c r="G185" s="95"/>
      <c r="H185" s="27"/>
      <c r="K185" s="27"/>
      <c r="L185" s="70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 spans="1:31" s="63" customFormat="1" ht="18" customHeight="1">
      <c r="A186" s="67"/>
      <c r="D186" s="95"/>
      <c r="G186" s="95"/>
      <c r="H186" s="27"/>
      <c r="K186" s="27"/>
      <c r="L186" s="70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 spans="1:31" s="63" customFormat="1" ht="18" customHeight="1">
      <c r="A187" s="67"/>
      <c r="D187" s="95"/>
      <c r="G187" s="95"/>
      <c r="H187" s="27"/>
      <c r="K187" s="27"/>
      <c r="L187" s="70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 spans="1:31" s="63" customFormat="1" ht="18" customHeight="1">
      <c r="A188" s="67"/>
      <c r="D188" s="95"/>
      <c r="G188" s="95"/>
      <c r="H188" s="27"/>
      <c r="K188" s="27"/>
      <c r="L188" s="70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 spans="1:31" s="63" customFormat="1" ht="18" customHeight="1">
      <c r="A189" s="67"/>
      <c r="D189" s="95"/>
      <c r="G189" s="95"/>
      <c r="H189" s="27"/>
      <c r="K189" s="27"/>
      <c r="L189" s="70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 spans="1:31" s="63" customFormat="1" ht="18" customHeight="1">
      <c r="A190" s="67"/>
      <c r="D190" s="95"/>
      <c r="G190" s="95"/>
      <c r="H190" s="27"/>
      <c r="K190" s="27"/>
      <c r="L190" s="70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 spans="1:31" s="63" customFormat="1" ht="18" customHeight="1">
      <c r="A191" s="67"/>
      <c r="D191" s="95"/>
      <c r="G191" s="95"/>
      <c r="H191" s="27"/>
      <c r="K191" s="27"/>
      <c r="L191" s="70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 spans="1:31" s="63" customFormat="1" ht="18" customHeight="1">
      <c r="A192" s="67"/>
      <c r="D192" s="95"/>
      <c r="G192" s="95"/>
      <c r="H192" s="27"/>
      <c r="K192" s="27"/>
      <c r="L192" s="70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 spans="1:31" s="63" customFormat="1" ht="18" customHeight="1">
      <c r="A193" s="67"/>
      <c r="D193" s="95"/>
      <c r="G193" s="95"/>
      <c r="H193" s="27"/>
      <c r="K193" s="27"/>
      <c r="L193" s="70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 spans="1:31" s="63" customFormat="1" ht="18" customHeight="1">
      <c r="A194" s="67"/>
      <c r="D194" s="95"/>
      <c r="G194" s="95"/>
      <c r="H194" s="27"/>
      <c r="K194" s="27"/>
      <c r="L194" s="70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 spans="1:31" s="63" customFormat="1" ht="18" customHeight="1">
      <c r="A195" s="67"/>
      <c r="D195" s="95"/>
      <c r="G195" s="95"/>
      <c r="H195" s="27"/>
      <c r="K195" s="27"/>
      <c r="L195" s="70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 spans="1:31" s="63" customFormat="1" ht="18" customHeight="1">
      <c r="A196" s="67"/>
      <c r="D196" s="95"/>
      <c r="G196" s="95"/>
      <c r="H196" s="27"/>
      <c r="K196" s="27"/>
      <c r="L196" s="70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 spans="1:31" s="63" customFormat="1" ht="18" customHeight="1">
      <c r="A197" s="67"/>
      <c r="D197" s="95"/>
      <c r="G197" s="95"/>
      <c r="H197" s="27"/>
      <c r="K197" s="27"/>
      <c r="L197" s="70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 spans="1:31" s="63" customFormat="1" ht="18" customHeight="1">
      <c r="A198" s="67"/>
      <c r="D198" s="95"/>
      <c r="G198" s="95"/>
      <c r="H198" s="27"/>
      <c r="K198" s="27"/>
      <c r="L198" s="70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 spans="1:31" s="63" customFormat="1" ht="18" customHeight="1">
      <c r="A199" s="67"/>
      <c r="D199" s="95"/>
      <c r="G199" s="95"/>
      <c r="H199" s="27"/>
      <c r="K199" s="27"/>
      <c r="L199" s="70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 spans="1:31" s="63" customFormat="1" ht="18" customHeight="1">
      <c r="A200" s="67"/>
      <c r="D200" s="95"/>
      <c r="G200" s="95"/>
      <c r="H200" s="27"/>
      <c r="K200" s="27"/>
      <c r="L200" s="70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 spans="1:31" s="63" customFormat="1" ht="18" customHeight="1">
      <c r="A201" s="67"/>
      <c r="D201" s="95"/>
      <c r="G201" s="95"/>
      <c r="H201" s="27"/>
      <c r="K201" s="27"/>
      <c r="L201" s="70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 spans="1:31" s="63" customFormat="1" ht="18" customHeight="1">
      <c r="A202" s="67"/>
      <c r="D202" s="95"/>
      <c r="G202" s="95"/>
      <c r="H202" s="27"/>
      <c r="K202" s="27"/>
      <c r="L202" s="70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 spans="1:31" s="63" customFormat="1" ht="18" customHeight="1">
      <c r="A203" s="67"/>
      <c r="D203" s="95"/>
      <c r="G203" s="95"/>
      <c r="H203" s="27"/>
      <c r="K203" s="27"/>
      <c r="L203" s="70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 spans="1:31" s="63" customFormat="1" ht="18" customHeight="1">
      <c r="A204" s="67"/>
      <c r="D204" s="95"/>
      <c r="G204" s="95"/>
      <c r="H204" s="27"/>
      <c r="K204" s="27"/>
      <c r="L204" s="70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 spans="1:31" s="63" customFormat="1" ht="18" customHeight="1">
      <c r="A205" s="67"/>
      <c r="D205" s="95"/>
      <c r="G205" s="95"/>
      <c r="H205" s="27"/>
      <c r="K205" s="27"/>
      <c r="L205" s="70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 spans="1:31" s="63" customFormat="1" ht="18" customHeight="1">
      <c r="A206" s="67"/>
      <c r="D206" s="95"/>
      <c r="G206" s="95"/>
      <c r="H206" s="27"/>
      <c r="K206" s="27"/>
      <c r="L206" s="70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 spans="1:31" s="63" customFormat="1" ht="18" customHeight="1">
      <c r="A207" s="67"/>
      <c r="D207" s="95"/>
      <c r="G207" s="95"/>
      <c r="H207" s="27"/>
      <c r="K207" s="27"/>
      <c r="L207" s="70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 spans="1:31" s="63" customFormat="1" ht="18" customHeight="1">
      <c r="A208" s="67"/>
      <c r="D208" s="95"/>
      <c r="G208" s="95"/>
      <c r="H208" s="27"/>
      <c r="K208" s="27"/>
      <c r="L208" s="70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 spans="1:31" s="63" customFormat="1" ht="18" customHeight="1">
      <c r="A209" s="67"/>
      <c r="D209" s="95"/>
      <c r="G209" s="95"/>
      <c r="H209" s="27"/>
      <c r="K209" s="27"/>
      <c r="L209" s="70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 spans="1:31" s="63" customFormat="1" ht="18" customHeight="1">
      <c r="A210" s="67"/>
      <c r="D210" s="95"/>
      <c r="G210" s="95"/>
      <c r="H210" s="27"/>
      <c r="K210" s="27"/>
      <c r="L210" s="70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 spans="1:31" s="63" customFormat="1" ht="18" customHeight="1">
      <c r="A211" s="67"/>
      <c r="D211" s="95"/>
      <c r="G211" s="95"/>
      <c r="H211" s="27"/>
      <c r="K211" s="27"/>
      <c r="L211" s="70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 spans="1:31" s="63" customFormat="1" ht="18" customHeight="1">
      <c r="A212" s="67"/>
      <c r="D212" s="95"/>
      <c r="G212" s="95"/>
      <c r="H212" s="27"/>
      <c r="K212" s="27"/>
      <c r="L212" s="70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 spans="1:31" s="63" customFormat="1" ht="18" customHeight="1">
      <c r="A213" s="67"/>
      <c r="D213" s="95"/>
      <c r="G213" s="95"/>
      <c r="H213" s="27"/>
      <c r="K213" s="27"/>
      <c r="L213" s="70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 spans="1:31" s="63" customFormat="1" ht="18" customHeight="1">
      <c r="A214" s="67"/>
      <c r="D214" s="95"/>
      <c r="G214" s="95"/>
      <c r="H214" s="27"/>
      <c r="K214" s="27"/>
      <c r="L214" s="70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 spans="1:31" s="63" customFormat="1" ht="18" customHeight="1">
      <c r="A215" s="67"/>
      <c r="D215" s="95"/>
      <c r="G215" s="95"/>
      <c r="H215" s="27"/>
      <c r="K215" s="27"/>
      <c r="L215" s="70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 spans="1:31" s="63" customFormat="1" ht="18" customHeight="1">
      <c r="A216" s="67"/>
      <c r="D216" s="95"/>
      <c r="G216" s="95"/>
      <c r="H216" s="27"/>
      <c r="K216" s="27"/>
      <c r="L216" s="70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 spans="1:31" s="63" customFormat="1" ht="18" customHeight="1">
      <c r="A217" s="67"/>
      <c r="D217" s="95"/>
      <c r="G217" s="95"/>
      <c r="H217" s="27"/>
      <c r="K217" s="27"/>
      <c r="L217" s="70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 spans="1:31" s="63" customFormat="1" ht="18" customHeight="1">
      <c r="A218" s="67"/>
      <c r="D218" s="95"/>
      <c r="G218" s="95"/>
      <c r="H218" s="27"/>
      <c r="K218" s="27"/>
      <c r="L218" s="70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 spans="1:31" s="63" customFormat="1" ht="18" customHeight="1">
      <c r="A219" s="67"/>
      <c r="D219" s="95"/>
      <c r="G219" s="95"/>
      <c r="H219" s="27"/>
      <c r="K219" s="27"/>
      <c r="L219" s="70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 spans="1:31" s="63" customFormat="1" ht="18" customHeight="1">
      <c r="A220" s="67"/>
      <c r="D220" s="95"/>
      <c r="G220" s="95"/>
      <c r="H220" s="27"/>
      <c r="K220" s="27"/>
      <c r="L220" s="70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 spans="1:31" s="63" customFormat="1" ht="18" customHeight="1">
      <c r="A221" s="67"/>
      <c r="D221" s="95"/>
      <c r="G221" s="95"/>
      <c r="H221" s="27"/>
      <c r="K221" s="27"/>
      <c r="L221" s="70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 spans="1:31" s="63" customFormat="1" ht="18" customHeight="1">
      <c r="A222" s="67"/>
      <c r="D222" s="95"/>
      <c r="G222" s="95"/>
      <c r="H222" s="27"/>
      <c r="K222" s="27"/>
      <c r="L222" s="70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 spans="1:31" s="63" customFormat="1" ht="18" customHeight="1">
      <c r="A223" s="67"/>
      <c r="D223" s="95"/>
      <c r="G223" s="95"/>
      <c r="H223" s="27"/>
      <c r="K223" s="27"/>
      <c r="L223" s="70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 spans="1:31" s="63" customFormat="1" ht="18" customHeight="1">
      <c r="A224" s="67"/>
      <c r="D224" s="95"/>
      <c r="G224" s="95"/>
      <c r="H224" s="27"/>
      <c r="K224" s="27"/>
      <c r="L224" s="70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 spans="1:31" s="63" customFormat="1" ht="18" customHeight="1">
      <c r="A225" s="67"/>
      <c r="D225" s="95"/>
      <c r="G225" s="95"/>
      <c r="H225" s="27"/>
      <c r="K225" s="27"/>
      <c r="L225" s="70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 spans="1:31" s="63" customFormat="1" ht="18" customHeight="1">
      <c r="A226" s="67"/>
      <c r="D226" s="95"/>
      <c r="G226" s="95"/>
      <c r="H226" s="27"/>
      <c r="K226" s="27"/>
      <c r="L226" s="70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 spans="1:31" s="63" customFormat="1" ht="18" customHeight="1">
      <c r="A227" s="67"/>
      <c r="D227" s="95"/>
      <c r="G227" s="95"/>
      <c r="H227" s="27"/>
      <c r="K227" s="27"/>
      <c r="L227" s="70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 spans="1:31" s="63" customFormat="1" ht="18" customHeight="1">
      <c r="A228" s="67"/>
      <c r="D228" s="95"/>
      <c r="G228" s="95"/>
      <c r="H228" s="27"/>
      <c r="K228" s="27"/>
      <c r="L228" s="70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 spans="1:31" s="63" customFormat="1" ht="18" customHeight="1">
      <c r="A229" s="67"/>
      <c r="D229" s="95"/>
      <c r="G229" s="95"/>
      <c r="H229" s="27"/>
      <c r="K229" s="27"/>
      <c r="L229" s="70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 spans="1:31" s="63" customFormat="1" ht="18" customHeight="1">
      <c r="A230" s="67"/>
      <c r="D230" s="95"/>
      <c r="G230" s="95"/>
      <c r="H230" s="27"/>
      <c r="K230" s="27"/>
      <c r="L230" s="70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 spans="1:31" s="63" customFormat="1" ht="18" customHeight="1">
      <c r="A231" s="67"/>
      <c r="D231" s="95"/>
      <c r="G231" s="95"/>
      <c r="H231" s="27"/>
      <c r="K231" s="27"/>
      <c r="L231" s="70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 spans="1:31" s="63" customFormat="1" ht="18" customHeight="1">
      <c r="A232" s="67"/>
      <c r="D232" s="95"/>
      <c r="G232" s="95"/>
      <c r="H232" s="27"/>
      <c r="K232" s="27"/>
      <c r="L232" s="70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 spans="1:31" s="63" customFormat="1" ht="18" customHeight="1">
      <c r="A233" s="67"/>
      <c r="D233" s="95"/>
      <c r="G233" s="95"/>
      <c r="H233" s="27"/>
      <c r="K233" s="27"/>
      <c r="L233" s="70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 spans="1:31" s="63" customFormat="1" ht="18" customHeight="1">
      <c r="A234" s="67"/>
      <c r="D234" s="95"/>
      <c r="G234" s="95"/>
      <c r="H234" s="27"/>
      <c r="K234" s="27"/>
      <c r="L234" s="70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 spans="1:31" s="63" customFormat="1" ht="18" customHeight="1">
      <c r="A235" s="67"/>
      <c r="D235" s="95"/>
      <c r="G235" s="95"/>
      <c r="H235" s="27"/>
      <c r="K235" s="27"/>
      <c r="L235" s="70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 spans="1:31" s="63" customFormat="1" ht="18" customHeight="1">
      <c r="A236" s="67"/>
      <c r="D236" s="95"/>
      <c r="G236" s="95"/>
      <c r="H236" s="27"/>
      <c r="K236" s="27"/>
      <c r="L236" s="70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 spans="1:31" s="63" customFormat="1" ht="18" customHeight="1">
      <c r="A237" s="67"/>
      <c r="D237" s="95"/>
      <c r="G237" s="95"/>
      <c r="H237" s="27"/>
      <c r="K237" s="27"/>
      <c r="L237" s="70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 spans="1:31" s="63" customFormat="1" ht="18" customHeight="1">
      <c r="A238" s="67"/>
      <c r="D238" s="95"/>
      <c r="G238" s="95"/>
      <c r="H238" s="27"/>
      <c r="K238" s="27"/>
      <c r="L238" s="70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 spans="1:31" s="63" customFormat="1" ht="18" customHeight="1">
      <c r="A239" s="67"/>
      <c r="D239" s="95"/>
      <c r="G239" s="95"/>
      <c r="H239" s="27"/>
      <c r="K239" s="27"/>
      <c r="L239" s="70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 spans="1:31" s="63" customFormat="1" ht="18" customHeight="1">
      <c r="A240" s="67"/>
      <c r="D240" s="95"/>
      <c r="G240" s="95"/>
      <c r="H240" s="27"/>
      <c r="K240" s="27"/>
      <c r="L240" s="70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 spans="1:31" s="63" customFormat="1" ht="18" customHeight="1">
      <c r="A241" s="67"/>
      <c r="D241" s="95"/>
      <c r="G241" s="95"/>
      <c r="H241" s="27"/>
      <c r="K241" s="27"/>
      <c r="L241" s="70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 spans="1:31" s="63" customFormat="1" ht="18" customHeight="1">
      <c r="A242" s="67"/>
      <c r="D242" s="95"/>
      <c r="G242" s="95"/>
      <c r="H242" s="27"/>
      <c r="K242" s="27"/>
      <c r="L242" s="70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 spans="1:31" s="63" customFormat="1" ht="18" customHeight="1">
      <c r="A243" s="67"/>
      <c r="D243" s="95"/>
      <c r="G243" s="95"/>
      <c r="H243" s="27"/>
      <c r="K243" s="27"/>
      <c r="L243" s="70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 spans="1:31" s="63" customFormat="1" ht="18" customHeight="1">
      <c r="A244" s="67"/>
      <c r="D244" s="95"/>
      <c r="G244" s="95"/>
      <c r="H244" s="27"/>
      <c r="K244" s="27"/>
      <c r="L244" s="70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 spans="1:31" s="63" customFormat="1" ht="18" customHeight="1">
      <c r="A245" s="67"/>
      <c r="D245" s="95"/>
      <c r="G245" s="95"/>
      <c r="H245" s="27"/>
      <c r="K245" s="27"/>
      <c r="L245" s="70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 spans="1:31" s="63" customFormat="1" ht="18" customHeight="1">
      <c r="A246" s="67"/>
      <c r="D246" s="95"/>
      <c r="G246" s="95"/>
      <c r="H246" s="27"/>
      <c r="K246" s="27"/>
      <c r="L246" s="70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 spans="1:31" s="63" customFormat="1" ht="18" customHeight="1">
      <c r="A247" s="67"/>
      <c r="D247" s="95"/>
      <c r="G247" s="95"/>
      <c r="H247" s="27"/>
      <c r="K247" s="27"/>
      <c r="L247" s="70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 spans="1:31" s="63" customFormat="1" ht="18" customHeight="1">
      <c r="A248" s="67"/>
      <c r="D248" s="95"/>
      <c r="G248" s="95"/>
      <c r="H248" s="27"/>
      <c r="K248" s="27"/>
      <c r="L248" s="70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 spans="1:31" s="63" customFormat="1" ht="18" customHeight="1">
      <c r="A249" s="67"/>
      <c r="D249" s="95"/>
      <c r="G249" s="95"/>
      <c r="H249" s="27"/>
      <c r="K249" s="27"/>
      <c r="L249" s="70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 spans="1:31" s="63" customFormat="1" ht="18" customHeight="1">
      <c r="A250" s="67"/>
      <c r="D250" s="95"/>
      <c r="G250" s="95"/>
      <c r="H250" s="27"/>
      <c r="K250" s="27"/>
      <c r="L250" s="70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 spans="1:31" s="63" customFormat="1" ht="18" customHeight="1">
      <c r="A251" s="67"/>
      <c r="D251" s="95"/>
      <c r="G251" s="95"/>
      <c r="H251" s="27"/>
      <c r="K251" s="27"/>
      <c r="L251" s="70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 spans="1:31" s="63" customFormat="1" ht="18" customHeight="1">
      <c r="A252" s="67"/>
      <c r="D252" s="95"/>
      <c r="G252" s="95"/>
      <c r="H252" s="27"/>
      <c r="K252" s="27"/>
      <c r="L252" s="70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 spans="1:31" s="63" customFormat="1" ht="18" customHeight="1">
      <c r="A253" s="67"/>
      <c r="D253" s="95"/>
      <c r="G253" s="95"/>
      <c r="H253" s="27"/>
      <c r="K253" s="27"/>
      <c r="L253" s="70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 spans="1:31" s="63" customFormat="1" ht="18" customHeight="1">
      <c r="A254" s="67"/>
      <c r="D254" s="95"/>
      <c r="G254" s="95"/>
      <c r="H254" s="27"/>
      <c r="K254" s="27"/>
      <c r="L254" s="70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 spans="1:31" s="63" customFormat="1" ht="18" customHeight="1">
      <c r="A255" s="67"/>
      <c r="D255" s="95"/>
      <c r="G255" s="95"/>
      <c r="H255" s="27"/>
      <c r="K255" s="27"/>
      <c r="L255" s="70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 spans="1:31" s="63" customFormat="1" ht="18" customHeight="1">
      <c r="A256" s="67"/>
      <c r="D256" s="95"/>
      <c r="G256" s="95"/>
      <c r="H256" s="27"/>
      <c r="K256" s="27"/>
      <c r="L256" s="70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 spans="1:31" s="63" customFormat="1" ht="18" customHeight="1">
      <c r="A257" s="67"/>
      <c r="D257" s="95"/>
      <c r="G257" s="95"/>
      <c r="H257" s="27"/>
      <c r="K257" s="27"/>
      <c r="L257" s="70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 spans="1:31" s="63" customFormat="1" ht="18" customHeight="1">
      <c r="A258" s="67"/>
      <c r="D258" s="95"/>
      <c r="G258" s="95"/>
      <c r="H258" s="27"/>
      <c r="K258" s="27"/>
      <c r="L258" s="70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 spans="1:31" s="63" customFormat="1" ht="18" customHeight="1">
      <c r="A259" s="67"/>
      <c r="D259" s="95"/>
      <c r="G259" s="95"/>
      <c r="H259" s="27"/>
      <c r="K259" s="27"/>
      <c r="L259" s="70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 spans="1:31" s="63" customFormat="1" ht="18" customHeight="1">
      <c r="A260" s="67"/>
      <c r="D260" s="95"/>
      <c r="G260" s="95"/>
      <c r="H260" s="27"/>
      <c r="K260" s="27"/>
      <c r="L260" s="70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 spans="1:31" s="63" customFormat="1" ht="18" customHeight="1">
      <c r="A261" s="67"/>
      <c r="D261" s="95"/>
      <c r="G261" s="95"/>
      <c r="H261" s="27"/>
      <c r="K261" s="27"/>
      <c r="L261" s="70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 spans="1:31" s="63" customFormat="1" ht="18" customHeight="1">
      <c r="A262" s="67"/>
      <c r="D262" s="95"/>
      <c r="G262" s="95"/>
      <c r="H262" s="27"/>
      <c r="K262" s="27"/>
      <c r="L262" s="70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 spans="1:31" s="63" customFormat="1" ht="18" customHeight="1">
      <c r="A263" s="67"/>
      <c r="D263" s="95"/>
      <c r="G263" s="95"/>
      <c r="H263" s="27"/>
      <c r="K263" s="27"/>
      <c r="L263" s="70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 spans="1:31" s="63" customFormat="1" ht="18" customHeight="1">
      <c r="A264" s="67"/>
      <c r="D264" s="95"/>
      <c r="G264" s="95"/>
      <c r="H264" s="27"/>
      <c r="K264" s="27"/>
      <c r="L264" s="70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 spans="1:31" s="63" customFormat="1" ht="18" customHeight="1">
      <c r="A265" s="67"/>
      <c r="D265" s="95"/>
      <c r="G265" s="95"/>
      <c r="H265" s="27"/>
      <c r="K265" s="27"/>
      <c r="L265" s="70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 spans="1:31" s="63" customFormat="1" ht="18" customHeight="1">
      <c r="A266" s="67"/>
      <c r="D266" s="95"/>
      <c r="G266" s="95"/>
      <c r="H266" s="27"/>
      <c r="K266" s="27"/>
      <c r="L266" s="70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 spans="1:31" s="63" customFormat="1" ht="18" customHeight="1">
      <c r="A267" s="67"/>
      <c r="D267" s="95"/>
      <c r="G267" s="95"/>
      <c r="H267" s="27"/>
      <c r="K267" s="27"/>
      <c r="L267" s="70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 spans="1:31" s="63" customFormat="1" ht="18" customHeight="1">
      <c r="A268" s="67"/>
      <c r="D268" s="95"/>
      <c r="G268" s="95"/>
      <c r="H268" s="27"/>
      <c r="K268" s="27"/>
      <c r="L268" s="70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 spans="1:31" s="63" customFormat="1" ht="18" customHeight="1">
      <c r="A269" s="67"/>
      <c r="D269" s="95"/>
      <c r="G269" s="95"/>
      <c r="H269" s="27"/>
      <c r="K269" s="27"/>
      <c r="L269" s="70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 spans="1:31" s="63" customFormat="1" ht="18" customHeight="1">
      <c r="A270" s="67"/>
      <c r="D270" s="95"/>
      <c r="G270" s="95"/>
      <c r="H270" s="27"/>
      <c r="K270" s="27"/>
      <c r="L270" s="70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 spans="1:31" s="63" customFormat="1" ht="18" customHeight="1">
      <c r="A271" s="67"/>
      <c r="D271" s="95"/>
      <c r="G271" s="95"/>
      <c r="H271" s="27"/>
      <c r="K271" s="27"/>
      <c r="L271" s="70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 spans="1:31" s="63" customFormat="1" ht="18" customHeight="1">
      <c r="A272" s="67"/>
      <c r="D272" s="95"/>
      <c r="G272" s="95"/>
      <c r="H272" s="27"/>
      <c r="K272" s="27"/>
      <c r="L272" s="70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 spans="1:31" s="63" customFormat="1" ht="18" customHeight="1">
      <c r="A273" s="67"/>
      <c r="D273" s="95"/>
      <c r="G273" s="95"/>
      <c r="H273" s="27"/>
      <c r="K273" s="27"/>
      <c r="L273" s="70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 spans="1:31" s="63" customFormat="1" ht="18" customHeight="1">
      <c r="A274" s="67"/>
      <c r="D274" s="95"/>
      <c r="G274" s="95"/>
      <c r="H274" s="27"/>
      <c r="K274" s="27"/>
      <c r="L274" s="70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 spans="1:31" s="63" customFormat="1" ht="18" customHeight="1">
      <c r="A275" s="67"/>
      <c r="D275" s="95"/>
      <c r="G275" s="95"/>
      <c r="H275" s="27"/>
      <c r="K275" s="27"/>
      <c r="L275" s="70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 spans="1:31" s="63" customFormat="1" ht="18" customHeight="1">
      <c r="A276" s="67"/>
      <c r="D276" s="95"/>
      <c r="G276" s="95"/>
      <c r="H276" s="27"/>
      <c r="K276" s="27"/>
      <c r="L276" s="70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 spans="1:31" s="63" customFormat="1" ht="18" customHeight="1">
      <c r="A277" s="67"/>
      <c r="D277" s="95"/>
      <c r="G277" s="95"/>
      <c r="H277" s="27"/>
      <c r="K277" s="27"/>
      <c r="L277" s="70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 spans="1:31" s="63" customFormat="1" ht="18" customHeight="1">
      <c r="A278" s="67"/>
      <c r="D278" s="95"/>
      <c r="G278" s="95"/>
      <c r="H278" s="27"/>
      <c r="K278" s="27"/>
      <c r="L278" s="70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 spans="1:31" s="63" customFormat="1" ht="18" customHeight="1">
      <c r="A279" s="67"/>
      <c r="D279" s="95"/>
      <c r="G279" s="95"/>
      <c r="H279" s="27"/>
      <c r="K279" s="27"/>
      <c r="L279" s="70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 spans="1:31" s="63" customFormat="1" ht="18" customHeight="1">
      <c r="A280" s="67"/>
      <c r="D280" s="95"/>
      <c r="G280" s="95"/>
      <c r="H280" s="27"/>
      <c r="K280" s="27"/>
      <c r="L280" s="70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 spans="1:31" s="63" customFormat="1" ht="18" customHeight="1">
      <c r="A281" s="67"/>
      <c r="D281" s="95"/>
      <c r="G281" s="95"/>
      <c r="H281" s="27"/>
      <c r="K281" s="27"/>
      <c r="L281" s="70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 spans="1:31" s="63" customFormat="1" ht="18" customHeight="1">
      <c r="A282" s="67"/>
      <c r="D282" s="95"/>
      <c r="G282" s="95"/>
      <c r="H282" s="27"/>
      <c r="K282" s="27"/>
      <c r="L282" s="70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 spans="1:31" s="63" customFormat="1" ht="18" customHeight="1">
      <c r="A283" s="67"/>
      <c r="D283" s="95"/>
      <c r="G283" s="95"/>
      <c r="H283" s="27"/>
      <c r="K283" s="27"/>
      <c r="L283" s="70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 spans="1:31" s="63" customFormat="1" ht="18" customHeight="1">
      <c r="A284" s="67"/>
      <c r="D284" s="95"/>
      <c r="G284" s="95"/>
      <c r="H284" s="27"/>
      <c r="K284" s="27"/>
      <c r="L284" s="70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 spans="1:31" s="63" customFormat="1" ht="18" customHeight="1">
      <c r="A285" s="67"/>
      <c r="D285" s="95"/>
      <c r="G285" s="95"/>
      <c r="H285" s="27"/>
      <c r="K285" s="27"/>
      <c r="L285" s="70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 spans="1:31" s="63" customFormat="1" ht="18" customHeight="1">
      <c r="A286" s="67"/>
      <c r="D286" s="95"/>
      <c r="G286" s="95"/>
      <c r="H286" s="27"/>
      <c r="K286" s="27"/>
      <c r="L286" s="70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 spans="1:31" s="63" customFormat="1" ht="18" customHeight="1">
      <c r="A287" s="67"/>
      <c r="D287" s="95"/>
      <c r="G287" s="95"/>
      <c r="H287" s="27"/>
      <c r="K287" s="27"/>
      <c r="L287" s="70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 spans="1:31" s="63" customFormat="1" ht="18" customHeight="1">
      <c r="A288" s="67"/>
      <c r="D288" s="95"/>
      <c r="G288" s="95"/>
      <c r="H288" s="27"/>
      <c r="K288" s="27"/>
      <c r="L288" s="70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 spans="1:31" s="63" customFormat="1" ht="18" customHeight="1">
      <c r="A289" s="67"/>
      <c r="D289" s="95"/>
      <c r="G289" s="95"/>
      <c r="H289" s="27"/>
      <c r="K289" s="27"/>
      <c r="L289" s="70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 spans="1:31" s="63" customFormat="1" ht="18" customHeight="1">
      <c r="A290" s="67"/>
      <c r="D290" s="95"/>
      <c r="G290" s="95"/>
      <c r="H290" s="27"/>
      <c r="K290" s="27"/>
      <c r="L290" s="70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 spans="1:31" s="63" customFormat="1" ht="18" customHeight="1">
      <c r="A291" s="67"/>
      <c r="D291" s="95"/>
      <c r="G291" s="95"/>
      <c r="H291" s="27"/>
      <c r="K291" s="27"/>
      <c r="L291" s="70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 spans="1:31" s="63" customFormat="1" ht="18" customHeight="1">
      <c r="A292" s="67"/>
      <c r="D292" s="95"/>
      <c r="G292" s="95"/>
      <c r="H292" s="27"/>
      <c r="K292" s="27"/>
      <c r="L292" s="70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 spans="1:31" s="63" customFormat="1" ht="18" customHeight="1">
      <c r="A293" s="67"/>
      <c r="D293" s="95"/>
      <c r="G293" s="95"/>
      <c r="H293" s="27"/>
      <c r="K293" s="27"/>
      <c r="L293" s="70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 spans="1:31" s="63" customFormat="1" ht="18" customHeight="1">
      <c r="A294" s="67"/>
      <c r="D294" s="95"/>
      <c r="G294" s="95"/>
      <c r="H294" s="27"/>
      <c r="K294" s="27"/>
      <c r="L294" s="70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  <c r="AC294" s="64"/>
      <c r="AD294" s="64"/>
      <c r="AE294" s="64"/>
    </row>
    <row r="295" spans="1:31" s="63" customFormat="1" ht="18" customHeight="1">
      <c r="A295" s="67"/>
      <c r="D295" s="95"/>
      <c r="G295" s="95"/>
      <c r="H295" s="27"/>
      <c r="K295" s="27"/>
      <c r="L295" s="70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 spans="1:31" s="63" customFormat="1" ht="18" customHeight="1">
      <c r="A296" s="67"/>
      <c r="D296" s="95"/>
      <c r="G296" s="95"/>
      <c r="H296" s="27"/>
      <c r="K296" s="27"/>
      <c r="L296" s="70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 spans="1:31" s="63" customFormat="1" ht="18" customHeight="1">
      <c r="A297" s="67"/>
      <c r="D297" s="95"/>
      <c r="G297" s="95"/>
      <c r="H297" s="27"/>
      <c r="K297" s="27"/>
      <c r="L297" s="70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 spans="1:31" s="63" customFormat="1" ht="18" customHeight="1">
      <c r="A298" s="67"/>
      <c r="D298" s="95"/>
      <c r="G298" s="95"/>
      <c r="H298" s="27"/>
      <c r="K298" s="27"/>
      <c r="L298" s="70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 spans="1:31" s="63" customFormat="1" ht="18" customHeight="1">
      <c r="A299" s="67"/>
      <c r="D299" s="95"/>
      <c r="G299" s="95"/>
      <c r="H299" s="27"/>
      <c r="K299" s="27"/>
      <c r="L299" s="70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 spans="1:31" s="63" customFormat="1" ht="18" customHeight="1">
      <c r="A300" s="67"/>
      <c r="D300" s="95"/>
      <c r="G300" s="95"/>
      <c r="H300" s="27"/>
      <c r="K300" s="27"/>
      <c r="L300" s="70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 spans="1:31" s="63" customFormat="1" ht="18" customHeight="1">
      <c r="A301" s="67"/>
      <c r="D301" s="95"/>
      <c r="G301" s="95"/>
      <c r="H301" s="27"/>
      <c r="K301" s="27"/>
      <c r="L301" s="70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 spans="1:31" s="63" customFormat="1" ht="18" customHeight="1">
      <c r="A302" s="67"/>
      <c r="D302" s="95"/>
      <c r="G302" s="95"/>
      <c r="H302" s="27"/>
      <c r="K302" s="27"/>
      <c r="L302" s="70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 spans="1:31" s="63" customFormat="1" ht="18" customHeight="1">
      <c r="A303" s="67"/>
      <c r="D303" s="95"/>
      <c r="G303" s="95"/>
      <c r="H303" s="27"/>
      <c r="K303" s="27"/>
      <c r="L303" s="70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 spans="1:31" s="63" customFormat="1" ht="18" customHeight="1">
      <c r="A304" s="67"/>
      <c r="D304" s="95"/>
      <c r="G304" s="95"/>
      <c r="H304" s="27"/>
      <c r="K304" s="27"/>
      <c r="L304" s="70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 spans="1:31" s="63" customFormat="1" ht="18" customHeight="1">
      <c r="A305" s="67"/>
      <c r="D305" s="95"/>
      <c r="G305" s="95"/>
      <c r="H305" s="27"/>
      <c r="K305" s="27"/>
      <c r="L305" s="70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 spans="1:31" s="63" customFormat="1" ht="18" customHeight="1">
      <c r="A306" s="67"/>
      <c r="D306" s="95"/>
      <c r="G306" s="95"/>
      <c r="H306" s="27"/>
      <c r="K306" s="27"/>
      <c r="L306" s="70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 spans="1:31" s="63" customFormat="1" ht="18" customHeight="1">
      <c r="A307" s="67"/>
      <c r="D307" s="95"/>
      <c r="G307" s="95"/>
      <c r="H307" s="27"/>
      <c r="K307" s="27"/>
      <c r="L307" s="70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 spans="1:31" s="63" customFormat="1" ht="18" customHeight="1">
      <c r="A308" s="67"/>
      <c r="D308" s="95"/>
      <c r="G308" s="95"/>
      <c r="H308" s="27"/>
      <c r="K308" s="27"/>
      <c r="L308" s="70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 spans="1:31" s="63" customFormat="1" ht="18" customHeight="1">
      <c r="A309" s="67"/>
      <c r="D309" s="95"/>
      <c r="G309" s="95"/>
      <c r="H309" s="27"/>
      <c r="K309" s="27"/>
      <c r="L309" s="70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 spans="1:31" s="63" customFormat="1" ht="18" customHeight="1">
      <c r="A310" s="67"/>
      <c r="D310" s="95"/>
      <c r="G310" s="95"/>
      <c r="H310" s="27"/>
      <c r="K310" s="27"/>
      <c r="L310" s="70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 spans="1:31" s="63" customFormat="1" ht="18" customHeight="1">
      <c r="A311" s="67"/>
      <c r="D311" s="95"/>
      <c r="G311" s="95"/>
      <c r="H311" s="27"/>
      <c r="K311" s="27"/>
      <c r="L311" s="70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 spans="1:31" s="63" customFormat="1" ht="18" customHeight="1">
      <c r="A312" s="67"/>
      <c r="D312" s="95"/>
      <c r="G312" s="95"/>
      <c r="H312" s="27"/>
      <c r="K312" s="27"/>
      <c r="L312" s="70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 spans="1:31" s="63" customFormat="1" ht="18" customHeight="1">
      <c r="A313" s="67"/>
      <c r="D313" s="95"/>
      <c r="G313" s="95"/>
      <c r="H313" s="27"/>
      <c r="K313" s="27"/>
      <c r="L313" s="70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 spans="1:31" s="63" customFormat="1" ht="18" customHeight="1">
      <c r="A314" s="67"/>
      <c r="D314" s="95"/>
      <c r="G314" s="95"/>
      <c r="H314" s="27"/>
      <c r="K314" s="27"/>
      <c r="L314" s="70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 spans="1:31" s="63" customFormat="1" ht="18" customHeight="1">
      <c r="A315" s="67"/>
      <c r="D315" s="95"/>
      <c r="G315" s="95"/>
      <c r="H315" s="27"/>
      <c r="K315" s="27"/>
      <c r="L315" s="70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 spans="1:31" s="63" customFormat="1" ht="18" customHeight="1">
      <c r="A316" s="67"/>
      <c r="D316" s="95"/>
      <c r="G316" s="95"/>
      <c r="H316" s="27"/>
      <c r="K316" s="27"/>
      <c r="L316" s="70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 spans="1:31" s="63" customFormat="1" ht="18" customHeight="1">
      <c r="A317" s="67"/>
      <c r="D317" s="95"/>
      <c r="G317" s="95"/>
      <c r="H317" s="27"/>
      <c r="K317" s="27"/>
      <c r="L317" s="70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 spans="1:31" s="63" customFormat="1" ht="18" customHeight="1">
      <c r="A318" s="67"/>
      <c r="D318" s="95"/>
      <c r="G318" s="95"/>
      <c r="H318" s="27"/>
      <c r="K318" s="27"/>
      <c r="L318" s="70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 spans="1:31" s="63" customFormat="1" ht="18" customHeight="1">
      <c r="A319" s="67"/>
      <c r="D319" s="95"/>
      <c r="G319" s="95"/>
      <c r="H319" s="27"/>
      <c r="K319" s="27"/>
      <c r="L319" s="70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 spans="1:31" s="63" customFormat="1" ht="18" customHeight="1">
      <c r="A320" s="67"/>
      <c r="D320" s="95"/>
      <c r="G320" s="95"/>
      <c r="H320" s="27"/>
      <c r="K320" s="27"/>
      <c r="L320" s="70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 spans="1:31" s="63" customFormat="1" ht="18" customHeight="1">
      <c r="A321" s="67"/>
      <c r="D321" s="95"/>
      <c r="G321" s="95"/>
      <c r="H321" s="27"/>
      <c r="K321" s="27"/>
      <c r="L321" s="70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 spans="1:31" s="63" customFormat="1" ht="18" customHeight="1">
      <c r="A322" s="67"/>
      <c r="D322" s="95"/>
      <c r="G322" s="95"/>
      <c r="H322" s="27"/>
      <c r="K322" s="27"/>
      <c r="L322" s="70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 spans="1:31" s="63" customFormat="1" ht="18" customHeight="1">
      <c r="A323" s="67"/>
      <c r="D323" s="95"/>
      <c r="G323" s="95"/>
      <c r="H323" s="27"/>
      <c r="K323" s="27"/>
      <c r="L323" s="70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 spans="1:31" s="63" customFormat="1" ht="18" customHeight="1">
      <c r="A324" s="67"/>
      <c r="D324" s="95"/>
      <c r="G324" s="95"/>
      <c r="H324" s="27"/>
      <c r="K324" s="27"/>
      <c r="L324" s="70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 spans="1:31" s="63" customFormat="1" ht="18" customHeight="1">
      <c r="A325" s="67"/>
      <c r="D325" s="95"/>
      <c r="G325" s="95"/>
      <c r="H325" s="27"/>
      <c r="K325" s="27"/>
      <c r="L325" s="70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 spans="1:31" s="63" customFormat="1" ht="18" customHeight="1">
      <c r="A326" s="67"/>
      <c r="D326" s="95"/>
      <c r="G326" s="95"/>
      <c r="H326" s="27"/>
      <c r="K326" s="27"/>
      <c r="L326" s="70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 spans="1:31" s="63" customFormat="1" ht="18" customHeight="1">
      <c r="A327" s="67"/>
      <c r="D327" s="95"/>
      <c r="G327" s="95"/>
      <c r="H327" s="27"/>
      <c r="K327" s="27"/>
      <c r="L327" s="70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 spans="1:31" s="63" customFormat="1" ht="18" customHeight="1">
      <c r="A328" s="67"/>
      <c r="D328" s="95"/>
      <c r="G328" s="95"/>
      <c r="H328" s="27"/>
      <c r="K328" s="27"/>
      <c r="L328" s="70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 spans="1:31" s="63" customFormat="1" ht="18" customHeight="1">
      <c r="A329" s="67"/>
      <c r="D329" s="95"/>
      <c r="G329" s="95"/>
      <c r="H329" s="27"/>
      <c r="K329" s="27"/>
      <c r="L329" s="70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 spans="1:31" s="63" customFormat="1" ht="18" customHeight="1">
      <c r="A330" s="67"/>
      <c r="D330" s="95"/>
      <c r="G330" s="95"/>
      <c r="H330" s="27"/>
      <c r="K330" s="27"/>
      <c r="L330" s="70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 spans="1:31" s="63" customFormat="1" ht="18" customHeight="1">
      <c r="A331" s="67"/>
      <c r="D331" s="95"/>
      <c r="G331" s="95"/>
      <c r="H331" s="27"/>
      <c r="K331" s="27"/>
      <c r="L331" s="70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 spans="1:31" s="63" customFormat="1" ht="18" customHeight="1">
      <c r="A332" s="67"/>
      <c r="D332" s="95"/>
      <c r="G332" s="95"/>
      <c r="H332" s="27"/>
      <c r="K332" s="27"/>
      <c r="L332" s="70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 spans="1:31" s="63" customFormat="1" ht="18" customHeight="1">
      <c r="A333" s="67"/>
      <c r="D333" s="95"/>
      <c r="G333" s="95"/>
      <c r="H333" s="27"/>
      <c r="K333" s="27"/>
      <c r="L333" s="70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 spans="1:31" s="63" customFormat="1" ht="18" customHeight="1">
      <c r="A334" s="67"/>
      <c r="D334" s="95"/>
      <c r="G334" s="95"/>
      <c r="H334" s="27"/>
      <c r="K334" s="27"/>
      <c r="L334" s="70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 spans="1:31" s="63" customFormat="1" ht="18" customHeight="1">
      <c r="A335" s="67"/>
      <c r="D335" s="95"/>
      <c r="G335" s="95"/>
      <c r="H335" s="27"/>
      <c r="K335" s="27"/>
      <c r="L335" s="70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 spans="1:31" s="63" customFormat="1" ht="18" customHeight="1">
      <c r="A336" s="67"/>
      <c r="D336" s="95"/>
      <c r="G336" s="95"/>
      <c r="H336" s="27"/>
      <c r="K336" s="27"/>
      <c r="L336" s="70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 spans="1:31" s="63" customFormat="1" ht="18" customHeight="1">
      <c r="A337" s="67"/>
      <c r="D337" s="95"/>
      <c r="G337" s="95"/>
      <c r="H337" s="27"/>
      <c r="K337" s="27"/>
      <c r="L337" s="70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 spans="1:31" s="63" customFormat="1" ht="18" customHeight="1">
      <c r="A338" s="67"/>
      <c r="D338" s="95"/>
      <c r="G338" s="95"/>
      <c r="H338" s="27"/>
      <c r="K338" s="27"/>
      <c r="L338" s="70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 spans="1:31" s="63" customFormat="1" ht="18" customHeight="1">
      <c r="A339" s="67"/>
      <c r="D339" s="95"/>
      <c r="G339" s="95"/>
      <c r="H339" s="27"/>
      <c r="K339" s="27"/>
      <c r="L339" s="70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 spans="1:31" s="63" customFormat="1" ht="18" customHeight="1">
      <c r="A340" s="67"/>
      <c r="D340" s="95"/>
      <c r="G340" s="95"/>
      <c r="H340" s="27"/>
      <c r="K340" s="27"/>
      <c r="L340" s="70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 spans="1:31" s="63" customFormat="1" ht="18" customHeight="1">
      <c r="A341" s="67"/>
      <c r="D341" s="95"/>
      <c r="G341" s="95"/>
      <c r="H341" s="27"/>
      <c r="K341" s="27"/>
      <c r="L341" s="70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 spans="1:31" s="63" customFormat="1" ht="18" customHeight="1">
      <c r="A342" s="67"/>
      <c r="D342" s="95"/>
      <c r="G342" s="95"/>
      <c r="H342" s="27"/>
      <c r="K342" s="27"/>
      <c r="L342" s="70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 spans="1:31" s="63" customFormat="1" ht="18" customHeight="1">
      <c r="A343" s="67"/>
      <c r="D343" s="95"/>
      <c r="G343" s="95"/>
      <c r="H343" s="27"/>
      <c r="K343" s="27"/>
      <c r="L343" s="70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 spans="1:31" s="63" customFormat="1" ht="18" customHeight="1">
      <c r="A344" s="67"/>
      <c r="D344" s="95"/>
      <c r="G344" s="95"/>
      <c r="H344" s="27"/>
      <c r="K344" s="27"/>
      <c r="L344" s="70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 spans="1:31" s="63" customFormat="1" ht="18" customHeight="1">
      <c r="A345" s="67"/>
      <c r="D345" s="95"/>
      <c r="G345" s="95"/>
      <c r="H345" s="27"/>
      <c r="K345" s="27"/>
      <c r="L345" s="70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 spans="1:31" s="63" customFormat="1" ht="18" customHeight="1">
      <c r="A346" s="67"/>
      <c r="D346" s="95"/>
      <c r="G346" s="95"/>
      <c r="H346" s="27"/>
      <c r="K346" s="27"/>
      <c r="L346" s="70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45A3-FBF1-49D4-8A69-BAF19D9C0C88}">
  <dimension ref="A1:M41"/>
  <sheetViews>
    <sheetView workbookViewId="0">
      <selection activeCell="F21" sqref="F21:G21"/>
    </sheetView>
  </sheetViews>
  <sheetFormatPr baseColWidth="10" defaultColWidth="9.1640625" defaultRowHeight="10.5"/>
  <cols>
    <col min="1" max="26" width="12.75" style="30" customWidth="1"/>
    <col min="27" max="16384" width="9.1640625" style="30"/>
  </cols>
  <sheetData>
    <row r="1" spans="1:13" ht="11">
      <c r="A1" s="111" t="s">
        <v>504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30" t="s">
        <v>505</v>
      </c>
    </row>
    <row r="2" spans="1:13" ht="11">
      <c r="J2" s="110">
        <f ca="1">TODAY()</f>
        <v>45641</v>
      </c>
      <c r="K2" s="110"/>
      <c r="L2" s="110"/>
    </row>
    <row r="8" spans="1:13">
      <c r="F8" s="31" t="s">
        <v>506</v>
      </c>
      <c r="G8" s="31" t="s">
        <v>507</v>
      </c>
      <c r="H8" s="31" t="s">
        <v>508</v>
      </c>
      <c r="I8" s="31" t="s">
        <v>509</v>
      </c>
      <c r="J8" s="31" t="s">
        <v>510</v>
      </c>
      <c r="K8" s="31" t="s">
        <v>511</v>
      </c>
      <c r="L8" s="31"/>
      <c r="M8" s="31" t="s">
        <v>512</v>
      </c>
    </row>
    <row r="9" spans="1:13">
      <c r="B9" s="30" t="s">
        <v>513</v>
      </c>
      <c r="D9" s="30">
        <f>COUNTIF(Movil!K2:'Movil'!K3006, "CAN")</f>
        <v>5</v>
      </c>
      <c r="F9" s="31">
        <f>COUNTIF(Movil!J2:'Movil'!J3007, "IZZI MOVIL 5 12M")</f>
        <v>11</v>
      </c>
      <c r="G9" s="31">
        <f>COUNTIF(Movil!J2:'Movil'!J3007, "IZZI MOVIL 8 12M")</f>
        <v>12</v>
      </c>
      <c r="H9" s="31">
        <f>COUNTIF(Movil!J2:'Movil'!J3007, "IZZI MOVIL 8")</f>
        <v>3</v>
      </c>
      <c r="I9" s="31">
        <f>COUNTIF(Movil!J2:'Movil'!J3007, "IZZI MOVIL 15")</f>
        <v>1</v>
      </c>
      <c r="J9" s="31">
        <f>COUNTIF(Movil!J2:'Movil'!J3007, "IZZI movil comparte tus datos 12M PROMO 3M")</f>
        <v>28</v>
      </c>
      <c r="K9" s="31">
        <f>COUNTIF(Movil!J2:'Movil'!L3007, "350")</f>
        <v>0</v>
      </c>
      <c r="L9" s="31"/>
      <c r="M9" s="31">
        <f>COUNTIF(UPs!L2:'UPs'!L2983, "UPSALE")</f>
        <v>31</v>
      </c>
    </row>
    <row r="10" spans="1:13">
      <c r="B10" s="30" t="s">
        <v>514</v>
      </c>
      <c r="D10" s="30">
        <f>COUNTIF(Movil!K2:'Movil'!K3007, "PRE-ACT")</f>
        <v>51</v>
      </c>
    </row>
    <row r="11" spans="1:13">
      <c r="B11" s="30" t="s">
        <v>515</v>
      </c>
      <c r="D11" s="30">
        <f>COUNTIF(Movil!K2:'Movil'!K3007, "ACTIVO")</f>
        <v>11</v>
      </c>
    </row>
    <row r="12" spans="1:13">
      <c r="B12" s="30" t="s">
        <v>516</v>
      </c>
      <c r="D12" s="32">
        <f>(100/F21*D11)/100</f>
        <v>0.16417910447761194</v>
      </c>
    </row>
    <row r="18" spans="2:7">
      <c r="B18" s="33"/>
      <c r="C18" s="33"/>
      <c r="D18" s="33"/>
      <c r="F18" s="109" t="s">
        <v>517</v>
      </c>
      <c r="G18" s="109"/>
    </row>
    <row r="19" spans="2:7">
      <c r="B19" s="33"/>
      <c r="C19" s="33"/>
      <c r="D19" s="33"/>
      <c r="F19" s="35" t="s">
        <v>518</v>
      </c>
      <c r="G19" s="36" t="s">
        <v>519</v>
      </c>
    </row>
    <row r="20" spans="2:7">
      <c r="B20" s="34" t="s">
        <v>520</v>
      </c>
      <c r="C20" s="34" t="e">
        <f>COUNTIF(Movil!#REF!:'Movil'!B3007, "14/12/2024")</f>
        <v>#REF!</v>
      </c>
      <c r="D20" s="34" t="s">
        <v>521</v>
      </c>
      <c r="F20" s="35">
        <f>COUNTIF(Movil!C2:'Movil'!C3007,"Calixta ")</f>
        <v>23</v>
      </c>
      <c r="G20" s="36">
        <f>COUNTIF(Movil!C2:'Movil'!C3007, "Llamada")</f>
        <v>44</v>
      </c>
    </row>
    <row r="21" spans="2:7">
      <c r="B21" s="33"/>
      <c r="C21" s="33"/>
      <c r="D21" s="33"/>
      <c r="F21" s="115">
        <f>F20+G20</f>
        <v>67</v>
      </c>
      <c r="G21" s="115"/>
    </row>
    <row r="22" spans="2:7">
      <c r="B22" s="33"/>
      <c r="C22" s="33"/>
      <c r="D22" s="33"/>
    </row>
    <row r="28" spans="2:7">
      <c r="B28" s="30" t="s">
        <v>522</v>
      </c>
    </row>
    <row r="29" spans="2:7">
      <c r="B29" s="112" t="str">
        <f>CONCATENATE("Cuenta: ", Movil!D49, " Orden: ", Movil!I49)</f>
        <v>Cuenta: 19086094 Orden: 1-200256851391</v>
      </c>
      <c r="C29" s="112"/>
      <c r="D29" s="112"/>
    </row>
    <row r="30" spans="2:7">
      <c r="B30" s="30" t="str">
        <f>CONCATENATE("Cuenta: ", Movil!D50, " Orden: ", Movil!I50)</f>
        <v>Cuenta: 43708593 Orden: 1-200256850405</v>
      </c>
      <c r="E30" s="30" t="s">
        <v>523</v>
      </c>
    </row>
    <row r="31" spans="2:7">
      <c r="B31" s="30" t="e">
        <f>CONCATENATE("Cuenta: ", Movil!#REF!, " Orden: ", Movil!#REF!)</f>
        <v>#REF!</v>
      </c>
    </row>
    <row r="32" spans="2:7">
      <c r="B32" s="30" t="str">
        <f>CONCATENATE("Cuenta: ", Movil!D51, " Orden: ", Movil!I51)</f>
        <v>Cuenta: 37569014 Orden: 1-200357366127</v>
      </c>
    </row>
    <row r="33" spans="2:2">
      <c r="B33" s="30" t="str">
        <f>CONCATENATE("Cuenta: ", Movil!D52, " Orden: ", Movil!I52)</f>
        <v>Cuenta: 42533249 Orden: 1-200357367297</v>
      </c>
    </row>
    <row r="34" spans="2:2">
      <c r="B34" s="30" t="e">
        <f>CONCATENATE("Cuenta: ", Movil!#REF!, " Orden: ", Movil!I53)</f>
        <v>#REF!</v>
      </c>
    </row>
    <row r="35" spans="2:2">
      <c r="B35" s="30" t="e">
        <f>CONCATENATE("Cuenta: ", Movil!D53, " Orden: ", Movil!#REF!)</f>
        <v>#REF!</v>
      </c>
    </row>
    <row r="36" spans="2:2">
      <c r="B36" s="30" t="str">
        <f>CONCATENATE("Cuenta: ", Movil!D54, " Orden: ", Movil!I54)</f>
        <v>Cuenta: 39415438 Orden: 1-200441440033</v>
      </c>
    </row>
    <row r="37" spans="2:2">
      <c r="B37" s="30" t="str">
        <f>CONCATENATE("Cuenta: ", Movil!D55, " Orden: ", Movil!I55)</f>
        <v>Cuenta: 31688382 Orden: 1-200461923566</v>
      </c>
    </row>
    <row r="38" spans="2:2">
      <c r="B38" s="30" t="str">
        <f>CONCATENATE("Cuenta: ", Movil!D56, " Orden: ", Movil!I56)</f>
        <v>Cuenta: 31688382 Orden: 1-200461923566</v>
      </c>
    </row>
    <row r="39" spans="2:2">
      <c r="B39" s="30" t="e">
        <f>CONCATENATE("Cuenta: ", Movil!#REF!, " Orden: ", Movil!#REF!)</f>
        <v>#REF!</v>
      </c>
    </row>
    <row r="40" spans="2:2">
      <c r="B40" s="30" t="str">
        <f>CONCATENATE("Cuenta: ", Movil!D57, " Orden: ", Movil!I57)</f>
        <v xml:space="preserve">Cuenta:  Orden: </v>
      </c>
    </row>
    <row r="41" spans="2:2">
      <c r="B41" s="30" t="str">
        <f>CONCATENATE("Cuenta: ", Movil!D58, " Orden: ", Movil!I58)</f>
        <v xml:space="preserve">Cuenta:  Orden: </v>
      </c>
    </row>
  </sheetData>
  <mergeCells count="5">
    <mergeCell ref="F18:G18"/>
    <mergeCell ref="F21:G21"/>
    <mergeCell ref="J2:L2"/>
    <mergeCell ref="A1:K1"/>
    <mergeCell ref="B29:D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FD8C-1682-463B-AD9E-ED7FF920450B}">
  <dimension ref="A1:I71"/>
  <sheetViews>
    <sheetView workbookViewId="0">
      <pane ySplit="3" topLeftCell="A4" activePane="bottomLeft" state="frozen"/>
      <selection pane="bottomLeft" activeCell="B20" sqref="B20"/>
    </sheetView>
  </sheetViews>
  <sheetFormatPr baseColWidth="10" defaultColWidth="9.1640625" defaultRowHeight="14"/>
  <cols>
    <col min="1" max="1" width="17.25" style="39" customWidth="1"/>
    <col min="2" max="2" width="20.75" style="39" customWidth="1"/>
    <col min="3" max="3" width="35.83203125" style="39" customWidth="1"/>
    <col min="4" max="4" width="26.75" style="39" customWidth="1"/>
    <col min="5" max="5" width="46.75" style="39" customWidth="1"/>
    <col min="6" max="6" width="41.1640625" style="39" customWidth="1"/>
    <col min="7" max="7" width="19.4140625" style="39" customWidth="1"/>
    <col min="8" max="8" width="30.58203125" style="39" customWidth="1"/>
    <col min="9" max="9" width="37.1640625" style="39" customWidth="1"/>
    <col min="10" max="10" width="10.83203125" style="39" customWidth="1"/>
    <col min="11" max="11" width="9.1640625" style="39"/>
    <col min="12" max="12" width="9.25" style="39" customWidth="1"/>
    <col min="13" max="16384" width="9.1640625" style="39"/>
  </cols>
  <sheetData>
    <row r="1" spans="1:9">
      <c r="A1" s="114" t="s">
        <v>504</v>
      </c>
      <c r="B1" s="114"/>
      <c r="C1" s="114"/>
      <c r="D1" s="114"/>
      <c r="E1" s="114"/>
      <c r="F1" s="114"/>
      <c r="G1" s="108" t="s">
        <v>505</v>
      </c>
    </row>
    <row r="2" spans="1:9">
      <c r="A2" s="108"/>
      <c r="B2" s="108"/>
      <c r="C2" s="108"/>
      <c r="D2" s="108"/>
      <c r="E2" s="113">
        <f ca="1">TODAY()</f>
        <v>45641</v>
      </c>
      <c r="F2" s="113"/>
      <c r="G2" s="113"/>
    </row>
    <row r="3" spans="1:9">
      <c r="A3" s="41"/>
      <c r="B3" s="41" t="s">
        <v>2</v>
      </c>
      <c r="C3" s="41" t="s">
        <v>524</v>
      </c>
      <c r="D3" s="41" t="s">
        <v>3</v>
      </c>
      <c r="E3" s="41"/>
      <c r="F3" s="41" t="s">
        <v>525</v>
      </c>
      <c r="G3" s="41" t="s">
        <v>526</v>
      </c>
      <c r="H3" s="41"/>
      <c r="I3" s="40"/>
    </row>
    <row r="4" spans="1:9">
      <c r="A4" s="96">
        <v>45643</v>
      </c>
      <c r="B4" s="38" t="s">
        <v>205</v>
      </c>
      <c r="C4" s="38" t="s">
        <v>527</v>
      </c>
      <c r="E4" s="38"/>
      <c r="F4" s="38" t="s">
        <v>528</v>
      </c>
      <c r="G4" s="38"/>
      <c r="H4" s="38"/>
      <c r="I4" s="38"/>
    </row>
    <row r="5" spans="1:9">
      <c r="A5" s="96">
        <v>45646</v>
      </c>
      <c r="B5" s="38" t="s">
        <v>205</v>
      </c>
      <c r="C5" s="38">
        <v>3312516939</v>
      </c>
      <c r="D5" s="38">
        <v>39953342</v>
      </c>
      <c r="E5" s="38"/>
      <c r="F5" s="38" t="s">
        <v>529</v>
      </c>
      <c r="G5" s="38"/>
      <c r="H5" s="41"/>
      <c r="I5" s="41"/>
    </row>
    <row r="6" spans="1:9">
      <c r="A6" s="96">
        <v>45644</v>
      </c>
      <c r="B6" s="38" t="s">
        <v>205</v>
      </c>
      <c r="C6" s="38" t="s">
        <v>530</v>
      </c>
      <c r="D6" s="38" t="s">
        <v>531</v>
      </c>
      <c r="E6" s="38"/>
      <c r="F6" s="38" t="s">
        <v>532</v>
      </c>
      <c r="G6" s="38"/>
      <c r="H6" s="10"/>
      <c r="I6" s="37" t="s">
        <v>533</v>
      </c>
    </row>
    <row r="7" spans="1:9">
      <c r="A7" s="96">
        <v>45658</v>
      </c>
      <c r="B7" s="38"/>
      <c r="C7" s="38" t="s">
        <v>534</v>
      </c>
      <c r="D7" s="38" t="s">
        <v>535</v>
      </c>
      <c r="E7" s="38"/>
      <c r="F7" s="38"/>
      <c r="G7" s="38"/>
      <c r="H7" s="8"/>
      <c r="I7" s="37" t="s">
        <v>536</v>
      </c>
    </row>
    <row r="8" spans="1:9">
      <c r="A8" s="96"/>
      <c r="B8" s="38" t="s">
        <v>205</v>
      </c>
      <c r="C8" s="38" t="s">
        <v>537</v>
      </c>
      <c r="D8" s="38" t="s">
        <v>538</v>
      </c>
      <c r="E8" s="38" t="s">
        <v>539</v>
      </c>
      <c r="F8" s="38" t="s">
        <v>540</v>
      </c>
      <c r="G8" s="37">
        <v>45640</v>
      </c>
      <c r="H8" s="9"/>
      <c r="I8" s="37" t="s">
        <v>541</v>
      </c>
    </row>
    <row r="9" spans="1:9">
      <c r="A9" s="37"/>
      <c r="B9" s="38" t="s">
        <v>205</v>
      </c>
      <c r="C9" s="38" t="s">
        <v>542</v>
      </c>
      <c r="D9" s="38" t="s">
        <v>331</v>
      </c>
      <c r="E9" s="38" t="s">
        <v>333</v>
      </c>
      <c r="F9" s="38" t="s">
        <v>543</v>
      </c>
      <c r="G9" s="37">
        <v>45640</v>
      </c>
      <c r="H9" s="11"/>
      <c r="I9" s="37" t="s">
        <v>544</v>
      </c>
    </row>
    <row r="10" spans="1:9">
      <c r="A10" s="37"/>
      <c r="B10" s="38" t="s">
        <v>205</v>
      </c>
      <c r="C10" s="38" t="s">
        <v>545</v>
      </c>
      <c r="D10" s="38" t="s">
        <v>546</v>
      </c>
      <c r="E10" s="38" t="s">
        <v>547</v>
      </c>
      <c r="F10" s="38" t="s">
        <v>548</v>
      </c>
      <c r="G10" s="37">
        <v>45640</v>
      </c>
      <c r="H10" s="40"/>
      <c r="I10" s="40"/>
    </row>
    <row r="11" spans="1:9">
      <c r="A11" s="37">
        <v>45644</v>
      </c>
      <c r="B11" s="38" t="s">
        <v>205</v>
      </c>
      <c r="C11" s="38" t="s">
        <v>549</v>
      </c>
      <c r="D11" s="38" t="s">
        <v>550</v>
      </c>
      <c r="E11" s="38" t="s">
        <v>551</v>
      </c>
      <c r="F11" s="38" t="s">
        <v>552</v>
      </c>
      <c r="G11" s="38"/>
      <c r="H11" s="40"/>
      <c r="I11" s="40"/>
    </row>
    <row r="12" spans="1:9">
      <c r="B12" s="38" t="s">
        <v>205</v>
      </c>
      <c r="C12" s="38" t="s">
        <v>553</v>
      </c>
      <c r="D12" s="38" t="s">
        <v>554</v>
      </c>
      <c r="E12" s="38" t="s">
        <v>555</v>
      </c>
      <c r="F12" s="38" t="s">
        <v>556</v>
      </c>
      <c r="G12" s="37">
        <v>45640</v>
      </c>
      <c r="H12" s="40"/>
      <c r="I12" s="40"/>
    </row>
    <row r="13" spans="1:9">
      <c r="A13" s="37"/>
      <c r="B13" s="38" t="s">
        <v>205</v>
      </c>
      <c r="C13" s="38" t="s">
        <v>557</v>
      </c>
      <c r="D13" s="38" t="s">
        <v>558</v>
      </c>
      <c r="E13" s="38" t="s">
        <v>559</v>
      </c>
      <c r="F13" s="38" t="s">
        <v>560</v>
      </c>
      <c r="G13" s="37">
        <v>45640</v>
      </c>
      <c r="H13" s="40"/>
      <c r="I13" s="40"/>
    </row>
    <row r="14" spans="1:9">
      <c r="A14" s="37"/>
      <c r="B14" s="38" t="s">
        <v>205</v>
      </c>
      <c r="C14" s="38" t="s">
        <v>561</v>
      </c>
      <c r="D14" s="38" t="s">
        <v>562</v>
      </c>
      <c r="E14" s="38" t="s">
        <v>563</v>
      </c>
      <c r="F14" s="38" t="s">
        <v>564</v>
      </c>
      <c r="G14" s="37">
        <v>45640</v>
      </c>
      <c r="H14" s="40"/>
      <c r="I14" s="40"/>
    </row>
    <row r="15" spans="1:9">
      <c r="A15" s="37"/>
      <c r="B15" s="37" t="s">
        <v>205</v>
      </c>
      <c r="C15" s="38" t="s">
        <v>565</v>
      </c>
      <c r="D15" s="38">
        <v>23967148</v>
      </c>
      <c r="E15" s="38"/>
      <c r="F15" s="37" t="s">
        <v>566</v>
      </c>
      <c r="G15" s="37">
        <v>45640</v>
      </c>
      <c r="H15" s="40"/>
      <c r="I15" s="40"/>
    </row>
    <row r="16" spans="1:9">
      <c r="B16" s="37" t="s">
        <v>205</v>
      </c>
      <c r="C16" s="37" t="s">
        <v>567</v>
      </c>
      <c r="D16" s="38" t="s">
        <v>568</v>
      </c>
      <c r="E16" s="38" t="s">
        <v>569</v>
      </c>
      <c r="F16" s="37" t="s">
        <v>570</v>
      </c>
      <c r="G16" s="37">
        <v>45640</v>
      </c>
      <c r="H16" s="40"/>
      <c r="I16" s="40"/>
    </row>
    <row r="17" spans="1:9">
      <c r="A17" s="37">
        <v>45648</v>
      </c>
      <c r="B17" s="37" t="s">
        <v>205</v>
      </c>
      <c r="C17" s="37" t="s">
        <v>571</v>
      </c>
      <c r="D17" s="38" t="s">
        <v>572</v>
      </c>
      <c r="E17" s="38" t="s">
        <v>573</v>
      </c>
      <c r="F17" s="37" t="s">
        <v>574</v>
      </c>
      <c r="G17" s="37"/>
      <c r="H17" s="40"/>
      <c r="I17" s="40"/>
    </row>
    <row r="18" spans="1:9">
      <c r="A18" s="37">
        <v>45646</v>
      </c>
      <c r="B18" s="37"/>
      <c r="C18" s="37" t="s">
        <v>575</v>
      </c>
      <c r="D18" s="38" t="s">
        <v>576</v>
      </c>
      <c r="E18" s="38" t="s">
        <v>577</v>
      </c>
      <c r="F18" s="37" t="s">
        <v>578</v>
      </c>
      <c r="G18" s="37">
        <v>45640</v>
      </c>
    </row>
    <row r="19" spans="1:9">
      <c r="A19" s="37">
        <v>45659</v>
      </c>
      <c r="B19" s="37"/>
      <c r="C19" s="37" t="s">
        <v>253</v>
      </c>
      <c r="D19" s="38" t="s">
        <v>579</v>
      </c>
      <c r="E19" s="38" t="s">
        <v>580</v>
      </c>
      <c r="F19" s="37" t="s">
        <v>581</v>
      </c>
      <c r="G19" s="37"/>
    </row>
    <row r="20" spans="1:9">
      <c r="A20" s="37">
        <v>45640</v>
      </c>
      <c r="B20" s="37"/>
      <c r="C20" s="38">
        <v>9984752056</v>
      </c>
      <c r="D20" s="38" t="s">
        <v>582</v>
      </c>
      <c r="E20" s="38" t="s">
        <v>583</v>
      </c>
      <c r="F20" s="37" t="s">
        <v>584</v>
      </c>
      <c r="G20" s="37">
        <v>45640</v>
      </c>
    </row>
    <row r="21" spans="1:9">
      <c r="A21" s="37"/>
      <c r="B21" s="37" t="s">
        <v>205</v>
      </c>
      <c r="C21" s="38" t="s">
        <v>585</v>
      </c>
      <c r="D21" s="38" t="s">
        <v>586</v>
      </c>
      <c r="E21" s="37" t="s">
        <v>587</v>
      </c>
      <c r="F21" s="37" t="s">
        <v>588</v>
      </c>
      <c r="G21" s="37">
        <v>45640</v>
      </c>
    </row>
    <row r="22" spans="1:9">
      <c r="A22" s="37"/>
      <c r="B22" s="37" t="s">
        <v>205</v>
      </c>
      <c r="C22" s="107" t="s">
        <v>589</v>
      </c>
      <c r="D22" s="38" t="s">
        <v>590</v>
      </c>
      <c r="E22" s="38" t="s">
        <v>591</v>
      </c>
      <c r="F22" s="37" t="s">
        <v>592</v>
      </c>
      <c r="G22" s="37">
        <v>45640</v>
      </c>
    </row>
    <row r="23" spans="1:9">
      <c r="A23" s="37"/>
      <c r="B23" s="37" t="s">
        <v>205</v>
      </c>
      <c r="C23" s="37" t="s">
        <v>593</v>
      </c>
      <c r="D23" s="38" t="s">
        <v>594</v>
      </c>
      <c r="E23" s="38" t="s">
        <v>595</v>
      </c>
      <c r="F23" s="37" t="s">
        <v>596</v>
      </c>
      <c r="G23" s="37"/>
    </row>
    <row r="24" spans="1:9">
      <c r="A24" s="37"/>
      <c r="B24" s="37"/>
      <c r="C24" s="37"/>
      <c r="D24" s="37"/>
      <c r="E24" s="37"/>
      <c r="F24" s="37"/>
      <c r="G24" s="37"/>
    </row>
    <row r="25" spans="1:9">
      <c r="A25" s="37"/>
      <c r="B25" s="37"/>
      <c r="C25" s="37"/>
      <c r="D25" s="37"/>
      <c r="E25" s="37"/>
      <c r="F25" s="37"/>
      <c r="G25" s="37"/>
    </row>
    <row r="26" spans="1:9">
      <c r="A26" s="37"/>
      <c r="B26" s="37"/>
      <c r="C26" s="37"/>
      <c r="D26" s="37"/>
      <c r="E26" s="37"/>
      <c r="F26" s="37"/>
      <c r="G26" s="37"/>
    </row>
    <row r="27" spans="1:9">
      <c r="A27" s="37"/>
      <c r="B27" s="37"/>
      <c r="C27" s="37"/>
      <c r="D27" s="37"/>
      <c r="E27" s="37"/>
      <c r="F27" s="37"/>
      <c r="G27" s="37"/>
    </row>
    <row r="28" spans="1:9">
      <c r="A28" s="37"/>
      <c r="B28" s="37"/>
      <c r="C28" s="37"/>
      <c r="D28" s="37"/>
      <c r="E28" s="37"/>
      <c r="F28" s="37"/>
      <c r="G28" s="37"/>
    </row>
    <row r="29" spans="1:9">
      <c r="A29" s="37"/>
      <c r="B29" s="37"/>
      <c r="C29" s="37"/>
      <c r="D29" s="37"/>
      <c r="E29" s="37"/>
      <c r="F29" s="37"/>
      <c r="G29" s="37"/>
    </row>
    <row r="30" spans="1:9">
      <c r="A30" s="37"/>
      <c r="B30" s="37"/>
      <c r="C30" s="37"/>
      <c r="D30" s="37"/>
      <c r="E30" s="37"/>
      <c r="F30" s="37"/>
      <c r="G30" s="37"/>
    </row>
    <row r="31" spans="1:9">
      <c r="A31" s="37"/>
      <c r="B31" s="37"/>
      <c r="C31" s="37"/>
      <c r="D31" s="37"/>
      <c r="E31" s="37"/>
      <c r="F31" s="37"/>
      <c r="G31" s="37"/>
    </row>
    <row r="32" spans="1:9">
      <c r="A32" s="37"/>
      <c r="B32" s="37"/>
      <c r="C32" s="37"/>
      <c r="D32" s="37"/>
      <c r="E32" s="37"/>
      <c r="F32" s="37"/>
      <c r="G32" s="37"/>
    </row>
    <row r="33" spans="1:7">
      <c r="A33" s="37"/>
      <c r="B33" s="37"/>
      <c r="C33" s="37"/>
      <c r="D33" s="37"/>
      <c r="E33" s="37"/>
      <c r="F33" s="37"/>
      <c r="G33" s="37"/>
    </row>
    <row r="34" spans="1:7">
      <c r="A34" s="37"/>
      <c r="B34" s="37"/>
      <c r="C34" s="37"/>
      <c r="D34" s="37"/>
      <c r="E34" s="37"/>
      <c r="F34" s="37"/>
      <c r="G34" s="37"/>
    </row>
    <row r="35" spans="1:7">
      <c r="A35" s="37"/>
      <c r="B35" s="37"/>
      <c r="C35" s="37"/>
      <c r="D35" s="37"/>
      <c r="E35" s="37"/>
      <c r="F35" s="37"/>
      <c r="G35" s="37"/>
    </row>
    <row r="36" spans="1:7">
      <c r="A36" s="37"/>
      <c r="B36" s="37"/>
      <c r="C36" s="37"/>
      <c r="D36" s="37"/>
      <c r="E36" s="37"/>
      <c r="F36" s="37"/>
      <c r="G36" s="37"/>
    </row>
    <row r="37" spans="1:7">
      <c r="A37" s="37"/>
      <c r="B37" s="37"/>
      <c r="C37" s="37"/>
      <c r="D37" s="37"/>
      <c r="E37" s="37"/>
      <c r="F37" s="37"/>
      <c r="G37" s="37"/>
    </row>
    <row r="38" spans="1:7">
      <c r="A38" s="37"/>
      <c r="B38" s="37"/>
      <c r="C38" s="37"/>
      <c r="D38" s="37"/>
      <c r="E38" s="37"/>
      <c r="F38" s="37"/>
      <c r="G38" s="37"/>
    </row>
    <row r="39" spans="1:7">
      <c r="A39" s="37"/>
      <c r="B39" s="37"/>
      <c r="C39" s="37"/>
      <c r="D39" s="37"/>
      <c r="E39" s="37"/>
      <c r="F39" s="37"/>
      <c r="G39" s="37"/>
    </row>
    <row r="40" spans="1:7">
      <c r="A40" s="37"/>
      <c r="B40" s="37"/>
      <c r="C40" s="37"/>
      <c r="D40" s="37"/>
      <c r="E40" s="37"/>
      <c r="F40" s="37"/>
      <c r="G40" s="37"/>
    </row>
    <row r="41" spans="1:7">
      <c r="A41" s="37"/>
      <c r="B41" s="37"/>
      <c r="C41" s="37"/>
      <c r="D41" s="37"/>
      <c r="E41" s="37"/>
      <c r="F41" s="37"/>
      <c r="G41" s="37"/>
    </row>
    <row r="42" spans="1:7">
      <c r="A42" s="37"/>
      <c r="B42" s="37"/>
      <c r="C42" s="37"/>
      <c r="D42" s="37"/>
      <c r="E42" s="37"/>
      <c r="F42" s="37"/>
      <c r="G42" s="37"/>
    </row>
    <row r="43" spans="1:7">
      <c r="A43" s="37"/>
      <c r="B43" s="37"/>
      <c r="C43" s="37"/>
      <c r="D43" s="37"/>
      <c r="E43" s="37"/>
      <c r="F43" s="37"/>
      <c r="G43" s="37"/>
    </row>
    <row r="44" spans="1:7">
      <c r="A44" s="37"/>
      <c r="B44" s="37"/>
      <c r="C44" s="37"/>
      <c r="D44" s="37"/>
      <c r="E44" s="37"/>
      <c r="F44" s="37"/>
      <c r="G44" s="37"/>
    </row>
    <row r="45" spans="1:7">
      <c r="A45" s="37"/>
      <c r="B45" s="37"/>
      <c r="C45" s="37"/>
      <c r="D45" s="37"/>
      <c r="E45" s="37"/>
      <c r="F45" s="37"/>
      <c r="G45" s="37"/>
    </row>
    <row r="46" spans="1:7">
      <c r="A46" s="37"/>
      <c r="B46" s="37"/>
      <c r="C46" s="37"/>
      <c r="D46" s="37"/>
      <c r="E46" s="37"/>
      <c r="F46" s="37"/>
      <c r="G46" s="37"/>
    </row>
    <row r="47" spans="1:7">
      <c r="A47" s="37"/>
      <c r="B47" s="37"/>
      <c r="C47" s="37"/>
      <c r="D47" s="37"/>
      <c r="E47" s="37"/>
      <c r="F47" s="37"/>
      <c r="G47" s="37"/>
    </row>
    <row r="48" spans="1:7">
      <c r="A48" s="37"/>
      <c r="B48" s="37"/>
      <c r="C48" s="37"/>
      <c r="D48" s="37"/>
      <c r="E48" s="37"/>
      <c r="F48" s="37"/>
      <c r="G48" s="37"/>
    </row>
    <row r="49" spans="1:7">
      <c r="A49" s="37"/>
      <c r="B49" s="37"/>
      <c r="C49" s="37"/>
      <c r="D49" s="37"/>
      <c r="E49" s="37"/>
      <c r="F49" s="37"/>
      <c r="G49" s="37"/>
    </row>
    <row r="50" spans="1:7">
      <c r="A50" s="37"/>
      <c r="B50" s="37"/>
      <c r="C50" s="37"/>
      <c r="D50" s="37"/>
      <c r="E50" s="37"/>
      <c r="F50" s="37"/>
      <c r="G50" s="37"/>
    </row>
    <row r="51" spans="1:7">
      <c r="A51" s="37"/>
      <c r="B51" s="37"/>
      <c r="C51" s="37"/>
      <c r="D51" s="37"/>
      <c r="E51" s="37"/>
      <c r="F51" s="37"/>
      <c r="G51" s="37"/>
    </row>
    <row r="52" spans="1:7">
      <c r="A52" s="37"/>
      <c r="B52" s="37"/>
      <c r="C52" s="37"/>
      <c r="D52" s="37"/>
      <c r="E52" s="37"/>
      <c r="F52" s="37"/>
      <c r="G52" s="37"/>
    </row>
    <row r="53" spans="1:7">
      <c r="A53" s="37"/>
      <c r="B53" s="37"/>
      <c r="C53" s="37"/>
      <c r="D53" s="37"/>
      <c r="E53" s="37"/>
      <c r="F53" s="37"/>
      <c r="G53" s="37"/>
    </row>
    <row r="54" spans="1:7">
      <c r="A54" s="37"/>
      <c r="B54" s="37"/>
      <c r="C54" s="37"/>
      <c r="D54" s="37"/>
      <c r="E54" s="37"/>
      <c r="F54" s="37"/>
      <c r="G54" s="37"/>
    </row>
    <row r="55" spans="1:7">
      <c r="A55" s="37"/>
      <c r="B55" s="37"/>
      <c r="C55" s="37"/>
      <c r="D55" s="37"/>
      <c r="E55" s="37"/>
      <c r="F55" s="37"/>
      <c r="G55" s="37"/>
    </row>
    <row r="56" spans="1:7">
      <c r="A56" s="37"/>
      <c r="B56" s="37"/>
      <c r="C56" s="37"/>
      <c r="D56" s="37"/>
      <c r="E56" s="37"/>
      <c r="F56" s="37"/>
      <c r="G56" s="37"/>
    </row>
    <row r="57" spans="1:7">
      <c r="A57" s="37"/>
      <c r="B57" s="37"/>
      <c r="C57" s="37"/>
      <c r="D57" s="37"/>
      <c r="E57" s="37"/>
      <c r="F57" s="37"/>
      <c r="G57" s="37"/>
    </row>
    <row r="58" spans="1:7">
      <c r="A58" s="37"/>
    </row>
    <row r="59" spans="1:7">
      <c r="A59" s="37"/>
    </row>
    <row r="60" spans="1:7">
      <c r="A60" s="37"/>
    </row>
    <row r="61" spans="1:7">
      <c r="A61" s="37"/>
    </row>
    <row r="62" spans="1:7">
      <c r="A62" s="37"/>
    </row>
    <row r="63" spans="1:7">
      <c r="A63" s="37"/>
    </row>
    <row r="64" spans="1:7">
      <c r="A64" s="37"/>
    </row>
    <row r="65" spans="1:1">
      <c r="A65" s="37"/>
    </row>
    <row r="66" spans="1:1">
      <c r="A66" s="37"/>
    </row>
    <row r="67" spans="1:1">
      <c r="A67" s="37"/>
    </row>
    <row r="68" spans="1:1">
      <c r="A68" s="37"/>
    </row>
    <row r="69" spans="1:1">
      <c r="A69" s="37"/>
    </row>
    <row r="70" spans="1:1">
      <c r="A70" s="37"/>
    </row>
    <row r="71" spans="1:1">
      <c r="A71" s="37"/>
    </row>
  </sheetData>
  <mergeCells count="2">
    <mergeCell ref="E2:G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E024-AFFD-40FB-9B89-3F395FD9C0AF}">
  <dimension ref="A1:D937"/>
  <sheetViews>
    <sheetView workbookViewId="0">
      <selection activeCell="A16" sqref="A16"/>
    </sheetView>
  </sheetViews>
  <sheetFormatPr baseColWidth="10" defaultColWidth="9.1640625" defaultRowHeight="14"/>
  <cols>
    <col min="1" max="1" width="25.4140625" style="100" customWidth="1"/>
    <col min="2" max="2" width="19.75" style="99" customWidth="1"/>
    <col min="3" max="3" width="26.58203125" style="99" customWidth="1"/>
    <col min="4" max="4" width="22.75" style="100" customWidth="1"/>
    <col min="5" max="16384" width="9.1640625" style="99"/>
  </cols>
  <sheetData>
    <row r="1" spans="1:4">
      <c r="A1" s="97" t="s">
        <v>597</v>
      </c>
      <c r="B1" s="98" t="s">
        <v>598</v>
      </c>
      <c r="C1" s="98" t="s">
        <v>599</v>
      </c>
      <c r="D1" s="97" t="s">
        <v>600</v>
      </c>
    </row>
    <row r="2" spans="1:4">
      <c r="A2" s="100">
        <v>20231565</v>
      </c>
      <c r="C2" s="99" t="str">
        <f t="shared" ref="C2:C33" si="0">CONCATENATE("#",B2)</f>
        <v>#</v>
      </c>
    </row>
    <row r="3" spans="1:4">
      <c r="A3" s="100">
        <v>33151124</v>
      </c>
      <c r="C3" s="99" t="str">
        <f t="shared" si="0"/>
        <v>#</v>
      </c>
    </row>
    <row r="4" spans="1:4">
      <c r="A4" s="100">
        <v>33620375</v>
      </c>
      <c r="C4" s="99" t="str">
        <f t="shared" si="0"/>
        <v>#</v>
      </c>
    </row>
    <row r="5" spans="1:4">
      <c r="A5" s="100">
        <v>32651531</v>
      </c>
      <c r="B5" s="99">
        <v>7717220860</v>
      </c>
      <c r="C5" s="99" t="str">
        <f t="shared" si="0"/>
        <v>#7717220860</v>
      </c>
    </row>
    <row r="6" spans="1:4">
      <c r="A6" s="100">
        <v>29649365</v>
      </c>
      <c r="B6" s="99">
        <v>5620976639</v>
      </c>
      <c r="C6" s="99" t="str">
        <f t="shared" si="0"/>
        <v>#5620976639</v>
      </c>
    </row>
    <row r="7" spans="1:4">
      <c r="A7" s="100">
        <v>27846060</v>
      </c>
      <c r="B7" s="99">
        <v>5517613233</v>
      </c>
      <c r="C7" s="99" t="str">
        <f t="shared" si="0"/>
        <v>#5517613233</v>
      </c>
    </row>
    <row r="8" spans="1:4">
      <c r="A8" s="100">
        <v>38346423</v>
      </c>
      <c r="B8" s="99">
        <v>7352159359</v>
      </c>
      <c r="C8" s="99" t="str">
        <f t="shared" si="0"/>
        <v>#7352159359</v>
      </c>
    </row>
    <row r="9" spans="1:4">
      <c r="A9" s="100">
        <v>50721917</v>
      </c>
      <c r="B9" s="99">
        <v>6611130822</v>
      </c>
      <c r="C9" s="99" t="str">
        <f t="shared" si="0"/>
        <v>#6611130822</v>
      </c>
    </row>
    <row r="10" spans="1:4">
      <c r="A10" s="100">
        <v>36692020</v>
      </c>
      <c r="B10" s="99">
        <v>5531521534</v>
      </c>
      <c r="C10" s="99" t="str">
        <f t="shared" si="0"/>
        <v>#5531521534</v>
      </c>
    </row>
    <row r="11" spans="1:4">
      <c r="A11" s="100">
        <v>36994743</v>
      </c>
      <c r="B11" s="99">
        <v>5574323079</v>
      </c>
      <c r="C11" s="99" t="str">
        <f t="shared" si="0"/>
        <v>#5574323079</v>
      </c>
    </row>
    <row r="12" spans="1:4">
      <c r="A12" s="100">
        <v>36533961</v>
      </c>
      <c r="B12" s="99">
        <v>5549427785</v>
      </c>
      <c r="C12" s="99" t="str">
        <f t="shared" si="0"/>
        <v>#5549427785</v>
      </c>
    </row>
    <row r="13" spans="1:4">
      <c r="A13" s="100">
        <v>35434836</v>
      </c>
      <c r="B13" s="99">
        <v>8126268915</v>
      </c>
      <c r="C13" s="99" t="str">
        <f t="shared" si="0"/>
        <v>#8126268915</v>
      </c>
    </row>
    <row r="14" spans="1:4">
      <c r="A14" s="100">
        <v>33726275</v>
      </c>
      <c r="B14" s="99">
        <v>8115303949</v>
      </c>
      <c r="C14" s="99" t="str">
        <f t="shared" si="0"/>
        <v>#8115303949</v>
      </c>
    </row>
    <row r="15" spans="1:4">
      <c r="A15" s="100">
        <v>31597918</v>
      </c>
      <c r="B15" s="99">
        <v>6643719924</v>
      </c>
      <c r="C15" s="99" t="str">
        <f t="shared" si="0"/>
        <v>#6643719924</v>
      </c>
    </row>
    <row r="16" spans="1:4">
      <c r="A16" s="100">
        <v>36648568</v>
      </c>
      <c r="C16" s="99" t="str">
        <f t="shared" si="0"/>
        <v>#</v>
      </c>
    </row>
    <row r="17" spans="1:3">
      <c r="A17" s="100">
        <v>35258989</v>
      </c>
      <c r="C17" s="99" t="str">
        <f t="shared" si="0"/>
        <v>#</v>
      </c>
    </row>
    <row r="18" spans="1:3">
      <c r="A18" s="100">
        <v>50571578</v>
      </c>
      <c r="C18" s="99" t="str">
        <f t="shared" si="0"/>
        <v>#</v>
      </c>
    </row>
    <row r="19" spans="1:3">
      <c r="A19" s="100">
        <v>55257232</v>
      </c>
      <c r="C19" s="99" t="str">
        <f t="shared" si="0"/>
        <v>#</v>
      </c>
    </row>
    <row r="20" spans="1:3">
      <c r="A20" s="100">
        <v>39018307</v>
      </c>
      <c r="C20" s="99" t="str">
        <f t="shared" si="0"/>
        <v>#</v>
      </c>
    </row>
    <row r="21" spans="1:3">
      <c r="A21" s="100">
        <v>31724628</v>
      </c>
      <c r="C21" s="99" t="str">
        <f t="shared" si="0"/>
        <v>#</v>
      </c>
    </row>
    <row r="22" spans="1:3">
      <c r="A22" s="100">
        <v>31351792</v>
      </c>
      <c r="C22" s="99" t="str">
        <f t="shared" si="0"/>
        <v>#</v>
      </c>
    </row>
    <row r="23" spans="1:3">
      <c r="A23" s="100">
        <v>39919099</v>
      </c>
      <c r="C23" s="99" t="str">
        <f t="shared" si="0"/>
        <v>#</v>
      </c>
    </row>
    <row r="24" spans="1:3">
      <c r="A24" s="100">
        <v>30388220</v>
      </c>
      <c r="C24" s="99" t="str">
        <f t="shared" si="0"/>
        <v>#</v>
      </c>
    </row>
    <row r="25" spans="1:3">
      <c r="A25" s="100">
        <v>37093914</v>
      </c>
      <c r="C25" s="99" t="str">
        <f t="shared" si="0"/>
        <v>#</v>
      </c>
    </row>
    <row r="26" spans="1:3">
      <c r="A26" s="100">
        <v>35511047</v>
      </c>
      <c r="C26" s="99" t="str">
        <f t="shared" si="0"/>
        <v>#</v>
      </c>
    </row>
    <row r="27" spans="1:3">
      <c r="A27" s="100">
        <v>37213076</v>
      </c>
      <c r="C27" s="99" t="str">
        <f t="shared" si="0"/>
        <v>#</v>
      </c>
    </row>
    <row r="28" spans="1:3">
      <c r="A28" s="100">
        <v>36895988</v>
      </c>
      <c r="C28" s="99" t="str">
        <f t="shared" si="0"/>
        <v>#</v>
      </c>
    </row>
    <row r="29" spans="1:3">
      <c r="A29" s="100">
        <v>28180824</v>
      </c>
      <c r="C29" s="99" t="str">
        <f t="shared" si="0"/>
        <v>#</v>
      </c>
    </row>
    <row r="30" spans="1:3">
      <c r="A30" s="100">
        <v>70226182</v>
      </c>
      <c r="C30" s="99" t="str">
        <f t="shared" si="0"/>
        <v>#</v>
      </c>
    </row>
    <row r="31" spans="1:3">
      <c r="A31" s="100">
        <v>22311555</v>
      </c>
      <c r="C31" s="99" t="str">
        <f t="shared" si="0"/>
        <v>#</v>
      </c>
    </row>
    <row r="32" spans="1:3">
      <c r="A32" s="100">
        <v>34781470</v>
      </c>
      <c r="C32" s="99" t="str">
        <f t="shared" si="0"/>
        <v>#</v>
      </c>
    </row>
    <row r="33" spans="1:3">
      <c r="A33" s="100" t="s">
        <v>601</v>
      </c>
      <c r="C33" s="99" t="str">
        <f t="shared" si="0"/>
        <v>#</v>
      </c>
    </row>
    <row r="34" spans="1:3">
      <c r="A34" s="100">
        <v>38892268</v>
      </c>
      <c r="C34" s="99" t="str">
        <f t="shared" ref="C34:C65" si="1">CONCATENATE("#",B34)</f>
        <v>#</v>
      </c>
    </row>
    <row r="35" spans="1:3">
      <c r="A35" s="100">
        <v>50814347</v>
      </c>
      <c r="C35" s="99" t="str">
        <f t="shared" si="1"/>
        <v>#</v>
      </c>
    </row>
    <row r="36" spans="1:3">
      <c r="A36" s="100">
        <v>36965736</v>
      </c>
      <c r="C36" s="99" t="str">
        <f t="shared" si="1"/>
        <v>#</v>
      </c>
    </row>
    <row r="37" spans="1:3">
      <c r="A37" s="100">
        <v>36965736</v>
      </c>
      <c r="C37" s="99" t="str">
        <f t="shared" si="1"/>
        <v>#</v>
      </c>
    </row>
    <row r="38" spans="1:3">
      <c r="A38" s="100">
        <v>16818881</v>
      </c>
      <c r="C38" s="99" t="str">
        <f t="shared" si="1"/>
        <v>#</v>
      </c>
    </row>
    <row r="39" spans="1:3">
      <c r="A39" s="100">
        <v>40011934</v>
      </c>
      <c r="C39" s="99" t="str">
        <f t="shared" si="1"/>
        <v>#</v>
      </c>
    </row>
    <row r="40" spans="1:3">
      <c r="A40" s="100">
        <v>37002125</v>
      </c>
      <c r="C40" s="99" t="str">
        <f t="shared" si="1"/>
        <v>#</v>
      </c>
    </row>
    <row r="41" spans="1:3">
      <c r="A41" s="100">
        <v>37002125</v>
      </c>
      <c r="C41" s="99" t="str">
        <f t="shared" si="1"/>
        <v>#</v>
      </c>
    </row>
    <row r="42" spans="1:3">
      <c r="A42" s="100">
        <v>25559768</v>
      </c>
      <c r="C42" s="99" t="str">
        <f t="shared" si="1"/>
        <v>#</v>
      </c>
    </row>
    <row r="43" spans="1:3">
      <c r="A43" s="100">
        <v>25559768</v>
      </c>
      <c r="C43" s="99" t="str">
        <f t="shared" si="1"/>
        <v>#</v>
      </c>
    </row>
    <row r="44" spans="1:3">
      <c r="A44" s="100">
        <v>23147315</v>
      </c>
      <c r="C44" s="99" t="str">
        <f t="shared" si="1"/>
        <v>#</v>
      </c>
    </row>
    <row r="45" spans="1:3">
      <c r="A45" s="100">
        <v>33525735</v>
      </c>
      <c r="C45" s="99" t="str">
        <f t="shared" si="1"/>
        <v>#</v>
      </c>
    </row>
    <row r="46" spans="1:3">
      <c r="A46" s="100">
        <v>35822335</v>
      </c>
      <c r="C46" s="99" t="str">
        <f t="shared" si="1"/>
        <v>#</v>
      </c>
    </row>
    <row r="47" spans="1:3">
      <c r="A47" s="100">
        <v>21792516</v>
      </c>
      <c r="C47" s="99" t="str">
        <f t="shared" si="1"/>
        <v>#</v>
      </c>
    </row>
    <row r="48" spans="1:3">
      <c r="A48" s="100">
        <v>30408515</v>
      </c>
      <c r="C48" s="99" t="str">
        <f t="shared" si="1"/>
        <v>#</v>
      </c>
    </row>
    <row r="49" spans="1:3">
      <c r="A49" s="100">
        <v>21941022</v>
      </c>
      <c r="C49" s="99" t="str">
        <f t="shared" si="1"/>
        <v>#</v>
      </c>
    </row>
    <row r="50" spans="1:3">
      <c r="A50" s="100">
        <v>50022297</v>
      </c>
      <c r="C50" s="99" t="str">
        <f t="shared" si="1"/>
        <v>#</v>
      </c>
    </row>
    <row r="51" spans="1:3">
      <c r="A51" s="100">
        <v>22544897</v>
      </c>
      <c r="C51" s="99" t="str">
        <f t="shared" si="1"/>
        <v>#</v>
      </c>
    </row>
    <row r="52" spans="1:3">
      <c r="A52" s="100">
        <v>27938108</v>
      </c>
      <c r="C52" s="99" t="str">
        <f t="shared" si="1"/>
        <v>#</v>
      </c>
    </row>
    <row r="53" spans="1:3">
      <c r="A53" s="100">
        <v>29618023</v>
      </c>
      <c r="C53" s="99" t="str">
        <f t="shared" si="1"/>
        <v>#</v>
      </c>
    </row>
    <row r="54" spans="1:3">
      <c r="A54" s="100">
        <v>36677399</v>
      </c>
      <c r="C54" s="99" t="str">
        <f t="shared" si="1"/>
        <v>#</v>
      </c>
    </row>
    <row r="55" spans="1:3">
      <c r="A55" s="100">
        <v>34107490</v>
      </c>
      <c r="C55" s="99" t="str">
        <f t="shared" si="1"/>
        <v>#</v>
      </c>
    </row>
    <row r="56" spans="1:3">
      <c r="A56" s="100">
        <v>30908111</v>
      </c>
      <c r="C56" s="99" t="str">
        <f t="shared" si="1"/>
        <v>#</v>
      </c>
    </row>
    <row r="57" spans="1:3">
      <c r="A57" s="100">
        <v>39778628</v>
      </c>
      <c r="C57" s="99" t="str">
        <f t="shared" si="1"/>
        <v>#</v>
      </c>
    </row>
    <row r="58" spans="1:3">
      <c r="A58" s="100">
        <v>26312374</v>
      </c>
      <c r="C58" s="99" t="str">
        <f t="shared" si="1"/>
        <v>#</v>
      </c>
    </row>
    <row r="59" spans="1:3">
      <c r="A59" s="100">
        <v>20015158</v>
      </c>
      <c r="C59" s="99" t="str">
        <f t="shared" si="1"/>
        <v>#</v>
      </c>
    </row>
    <row r="60" spans="1:3">
      <c r="A60" s="100">
        <v>24884183</v>
      </c>
      <c r="C60" s="99" t="str">
        <f t="shared" si="1"/>
        <v>#</v>
      </c>
    </row>
    <row r="61" spans="1:3">
      <c r="A61" s="100">
        <v>24884183</v>
      </c>
      <c r="C61" s="99" t="str">
        <f t="shared" si="1"/>
        <v>#</v>
      </c>
    </row>
    <row r="62" spans="1:3">
      <c r="A62" s="100">
        <v>39066729</v>
      </c>
      <c r="C62" s="99" t="str">
        <f t="shared" si="1"/>
        <v>#</v>
      </c>
    </row>
    <row r="63" spans="1:3">
      <c r="A63" s="100">
        <v>26266012</v>
      </c>
      <c r="C63" s="99" t="str">
        <f t="shared" si="1"/>
        <v>#</v>
      </c>
    </row>
    <row r="64" spans="1:3">
      <c r="A64" s="100">
        <v>29213750</v>
      </c>
      <c r="C64" s="99" t="str">
        <f t="shared" si="1"/>
        <v>#</v>
      </c>
    </row>
    <row r="65" spans="1:3">
      <c r="A65" s="100">
        <v>39752046</v>
      </c>
      <c r="C65" s="99" t="str">
        <f t="shared" si="1"/>
        <v>#</v>
      </c>
    </row>
    <row r="66" spans="1:3">
      <c r="A66" s="100">
        <v>36923588</v>
      </c>
      <c r="C66" s="99" t="str">
        <f t="shared" ref="C66:C97" si="2">CONCATENATE("#",B66)</f>
        <v>#</v>
      </c>
    </row>
    <row r="67" spans="1:3">
      <c r="A67" s="100">
        <v>23692682</v>
      </c>
      <c r="C67" s="99" t="str">
        <f t="shared" si="2"/>
        <v>#</v>
      </c>
    </row>
    <row r="68" spans="1:3">
      <c r="A68" s="100">
        <v>20179144</v>
      </c>
      <c r="C68" s="99" t="str">
        <f t="shared" si="2"/>
        <v>#</v>
      </c>
    </row>
    <row r="69" spans="1:3">
      <c r="A69" s="100">
        <v>38315395</v>
      </c>
      <c r="C69" s="99" t="str">
        <f t="shared" si="2"/>
        <v>#</v>
      </c>
    </row>
    <row r="70" spans="1:3">
      <c r="A70" s="100">
        <v>36290334</v>
      </c>
      <c r="C70" s="99" t="str">
        <f t="shared" si="2"/>
        <v>#</v>
      </c>
    </row>
    <row r="71" spans="1:3">
      <c r="A71" s="100">
        <v>30497833</v>
      </c>
      <c r="C71" s="99" t="str">
        <f t="shared" si="2"/>
        <v>#</v>
      </c>
    </row>
    <row r="72" spans="1:3">
      <c r="A72" s="100">
        <v>39276750</v>
      </c>
      <c r="C72" s="99" t="str">
        <f t="shared" si="2"/>
        <v>#</v>
      </c>
    </row>
    <row r="73" spans="1:3">
      <c r="A73" s="100">
        <v>17331868</v>
      </c>
      <c r="C73" s="99" t="str">
        <f t="shared" si="2"/>
        <v>#</v>
      </c>
    </row>
    <row r="74" spans="1:3">
      <c r="A74" s="100">
        <v>28312349</v>
      </c>
      <c r="C74" s="99" t="str">
        <f t="shared" si="2"/>
        <v>#</v>
      </c>
    </row>
    <row r="75" spans="1:3">
      <c r="A75" s="100">
        <v>19509730</v>
      </c>
      <c r="C75" s="99" t="str">
        <f t="shared" si="2"/>
        <v>#</v>
      </c>
    </row>
    <row r="76" spans="1:3">
      <c r="A76" s="100">
        <v>31647501</v>
      </c>
      <c r="C76" s="99" t="str">
        <f t="shared" si="2"/>
        <v>#</v>
      </c>
    </row>
    <row r="77" spans="1:3">
      <c r="A77" s="100">
        <v>34701224</v>
      </c>
      <c r="C77" s="99" t="str">
        <f t="shared" si="2"/>
        <v>#</v>
      </c>
    </row>
    <row r="78" spans="1:3">
      <c r="A78" s="100">
        <v>37172833</v>
      </c>
      <c r="C78" s="99" t="str">
        <f t="shared" si="2"/>
        <v>#</v>
      </c>
    </row>
    <row r="79" spans="1:3">
      <c r="A79" s="100">
        <v>33412297</v>
      </c>
      <c r="C79" s="99" t="str">
        <f t="shared" si="2"/>
        <v>#</v>
      </c>
    </row>
    <row r="80" spans="1:3">
      <c r="A80" s="100">
        <v>40169476</v>
      </c>
      <c r="C80" s="99" t="str">
        <f t="shared" si="2"/>
        <v>#</v>
      </c>
    </row>
    <row r="81" spans="1:3" ht="28">
      <c r="A81" s="101" t="s">
        <v>602</v>
      </c>
      <c r="C81" s="99" t="str">
        <f t="shared" si="2"/>
        <v>#</v>
      </c>
    </row>
    <row r="82" spans="1:3">
      <c r="A82" s="100">
        <v>31711224</v>
      </c>
      <c r="C82" s="99" t="str">
        <f t="shared" si="2"/>
        <v>#</v>
      </c>
    </row>
    <row r="83" spans="1:3">
      <c r="A83" s="100">
        <v>36807217</v>
      </c>
      <c r="C83" s="99" t="str">
        <f t="shared" si="2"/>
        <v>#</v>
      </c>
    </row>
    <row r="84" spans="1:3">
      <c r="A84" s="100">
        <v>39132531</v>
      </c>
      <c r="C84" s="99" t="str">
        <f t="shared" si="2"/>
        <v>#</v>
      </c>
    </row>
    <row r="85" spans="1:3">
      <c r="A85" s="100">
        <v>38457981</v>
      </c>
      <c r="C85" s="99" t="str">
        <f t="shared" si="2"/>
        <v>#</v>
      </c>
    </row>
    <row r="86" spans="1:3">
      <c r="A86" s="100">
        <v>19609264</v>
      </c>
      <c r="C86" s="99" t="str">
        <f t="shared" si="2"/>
        <v>#</v>
      </c>
    </row>
    <row r="87" spans="1:3">
      <c r="A87" s="100">
        <v>31792765</v>
      </c>
      <c r="C87" s="99" t="str">
        <f t="shared" si="2"/>
        <v>#</v>
      </c>
    </row>
    <row r="88" spans="1:3">
      <c r="A88" s="100">
        <v>17636725</v>
      </c>
      <c r="C88" s="99" t="str">
        <f t="shared" si="2"/>
        <v>#</v>
      </c>
    </row>
    <row r="89" spans="1:3">
      <c r="A89" s="100">
        <v>31982556</v>
      </c>
      <c r="C89" s="99" t="str">
        <f t="shared" si="2"/>
        <v>#</v>
      </c>
    </row>
    <row r="90" spans="1:3">
      <c r="A90" s="100">
        <v>16764803</v>
      </c>
      <c r="C90" s="99" t="str">
        <f t="shared" si="2"/>
        <v>#</v>
      </c>
    </row>
    <row r="91" spans="1:3">
      <c r="A91" s="100">
        <v>36786885</v>
      </c>
      <c r="C91" s="99" t="str">
        <f t="shared" si="2"/>
        <v>#</v>
      </c>
    </row>
    <row r="92" spans="1:3">
      <c r="A92" s="100">
        <v>25667555</v>
      </c>
      <c r="C92" s="99" t="str">
        <f t="shared" si="2"/>
        <v>#</v>
      </c>
    </row>
    <row r="93" spans="1:3">
      <c r="A93" s="100">
        <v>29675851</v>
      </c>
      <c r="C93" s="99" t="str">
        <f t="shared" si="2"/>
        <v>#</v>
      </c>
    </row>
    <row r="94" spans="1:3">
      <c r="A94" s="100">
        <v>34044236</v>
      </c>
      <c r="C94" s="99" t="str">
        <f t="shared" si="2"/>
        <v>#</v>
      </c>
    </row>
    <row r="95" spans="1:3">
      <c r="A95" s="100">
        <v>37801305</v>
      </c>
      <c r="C95" s="99" t="str">
        <f t="shared" si="2"/>
        <v>#</v>
      </c>
    </row>
    <row r="96" spans="1:3">
      <c r="A96" s="100">
        <v>32797002</v>
      </c>
      <c r="C96" s="99" t="str">
        <f t="shared" si="2"/>
        <v>#</v>
      </c>
    </row>
    <row r="97" spans="1:3">
      <c r="A97" s="100">
        <v>21951841</v>
      </c>
      <c r="C97" s="99" t="str">
        <f t="shared" si="2"/>
        <v>#</v>
      </c>
    </row>
    <row r="98" spans="1:3">
      <c r="A98" s="100">
        <v>21951841</v>
      </c>
      <c r="C98" s="99" t="str">
        <f t="shared" ref="C98:C129" si="3">CONCATENATE("#",B98)</f>
        <v>#</v>
      </c>
    </row>
    <row r="99" spans="1:3">
      <c r="A99" s="100">
        <v>31571813</v>
      </c>
      <c r="C99" s="99" t="str">
        <f t="shared" si="3"/>
        <v>#</v>
      </c>
    </row>
    <row r="100" spans="1:3">
      <c r="A100" s="100">
        <v>36793844</v>
      </c>
      <c r="C100" s="99" t="str">
        <f t="shared" si="3"/>
        <v>#</v>
      </c>
    </row>
    <row r="101" spans="1:3">
      <c r="A101" s="100">
        <v>37374763</v>
      </c>
      <c r="C101" s="99" t="str">
        <f t="shared" si="3"/>
        <v>#</v>
      </c>
    </row>
    <row r="102" spans="1:3">
      <c r="A102" s="100">
        <v>39945973</v>
      </c>
      <c r="C102" s="99" t="str">
        <f t="shared" si="3"/>
        <v>#</v>
      </c>
    </row>
    <row r="103" spans="1:3">
      <c r="A103" s="100">
        <v>21422947</v>
      </c>
      <c r="C103" s="99" t="str">
        <f t="shared" si="3"/>
        <v>#</v>
      </c>
    </row>
    <row r="104" spans="1:3">
      <c r="A104" s="100">
        <v>36822023</v>
      </c>
      <c r="C104" s="99" t="str">
        <f t="shared" si="3"/>
        <v>#</v>
      </c>
    </row>
    <row r="105" spans="1:3">
      <c r="A105" s="100">
        <v>33955651</v>
      </c>
      <c r="C105" s="99" t="str">
        <f t="shared" si="3"/>
        <v>#</v>
      </c>
    </row>
    <row r="106" spans="1:3">
      <c r="A106" s="100">
        <v>40205658</v>
      </c>
      <c r="C106" s="99" t="str">
        <f t="shared" si="3"/>
        <v>#</v>
      </c>
    </row>
    <row r="107" spans="1:3">
      <c r="A107" s="100">
        <v>35807059</v>
      </c>
    </row>
    <row r="108" spans="1:3">
      <c r="A108" s="100">
        <v>35807059</v>
      </c>
    </row>
    <row r="109" spans="1:3">
      <c r="A109" s="100">
        <v>31948908</v>
      </c>
    </row>
    <row r="110" spans="1:3">
      <c r="A110" s="100">
        <v>90191961</v>
      </c>
    </row>
    <row r="111" spans="1:3">
      <c r="A111" s="100">
        <v>33083836</v>
      </c>
    </row>
    <row r="112" spans="1:3">
      <c r="A112" s="100">
        <v>28681314</v>
      </c>
    </row>
    <row r="113" spans="1:1">
      <c r="A113" s="100">
        <v>28681314</v>
      </c>
    </row>
    <row r="114" spans="1:1">
      <c r="A114" s="100">
        <v>35213348</v>
      </c>
    </row>
    <row r="115" spans="1:1">
      <c r="A115" s="100">
        <v>35676565</v>
      </c>
    </row>
    <row r="116" spans="1:1">
      <c r="A116" s="100">
        <v>37446695</v>
      </c>
    </row>
    <row r="117" spans="1:1">
      <c r="A117" s="100">
        <v>26976317</v>
      </c>
    </row>
    <row r="118" spans="1:1">
      <c r="A118" s="100">
        <v>36405167</v>
      </c>
    </row>
    <row r="119" spans="1:1">
      <c r="A119" s="100">
        <v>36015555</v>
      </c>
    </row>
    <row r="120" spans="1:1">
      <c r="A120" s="100">
        <v>25427166</v>
      </c>
    </row>
    <row r="121" spans="1:1">
      <c r="A121" s="100">
        <v>20653122</v>
      </c>
    </row>
    <row r="122" spans="1:1">
      <c r="A122" s="100">
        <v>39922410</v>
      </c>
    </row>
    <row r="123" spans="1:1">
      <c r="A123" s="100">
        <v>17983049</v>
      </c>
    </row>
    <row r="124" spans="1:1">
      <c r="A124" s="100">
        <v>22244395</v>
      </c>
    </row>
    <row r="125" spans="1:1">
      <c r="A125" s="100">
        <v>35771956</v>
      </c>
    </row>
    <row r="126" spans="1:1">
      <c r="A126" s="100">
        <v>17664046</v>
      </c>
    </row>
    <row r="127" spans="1:1">
      <c r="A127" s="100">
        <v>25849574</v>
      </c>
    </row>
    <row r="128" spans="1:1">
      <c r="A128" s="100">
        <v>35750057</v>
      </c>
    </row>
    <row r="129" spans="1:1">
      <c r="A129" s="100">
        <v>36896803</v>
      </c>
    </row>
    <row r="130" spans="1:1">
      <c r="A130" s="100">
        <v>23680838</v>
      </c>
    </row>
    <row r="131" spans="1:1">
      <c r="A131" s="100">
        <v>23498214</v>
      </c>
    </row>
    <row r="132" spans="1:1">
      <c r="A132" s="100">
        <v>34287714</v>
      </c>
    </row>
    <row r="133" spans="1:1">
      <c r="A133" s="100">
        <v>34287714</v>
      </c>
    </row>
    <row r="134" spans="1:1">
      <c r="A134" s="100">
        <v>30068429</v>
      </c>
    </row>
    <row r="135" spans="1:1">
      <c r="A135" s="100">
        <v>17208258</v>
      </c>
    </row>
    <row r="136" spans="1:1">
      <c r="A136" s="100">
        <v>17208258</v>
      </c>
    </row>
    <row r="137" spans="1:1">
      <c r="A137" s="100">
        <v>17208258</v>
      </c>
    </row>
    <row r="138" spans="1:1">
      <c r="A138" s="100">
        <v>17208258</v>
      </c>
    </row>
    <row r="139" spans="1:1">
      <c r="A139" s="100">
        <v>29634160</v>
      </c>
    </row>
    <row r="140" spans="1:1">
      <c r="A140" s="100">
        <v>18238115</v>
      </c>
    </row>
    <row r="141" spans="1:1">
      <c r="A141" s="100">
        <v>40110245</v>
      </c>
    </row>
    <row r="142" spans="1:1">
      <c r="A142" s="100">
        <v>17016462</v>
      </c>
    </row>
    <row r="143" spans="1:1">
      <c r="A143" s="100">
        <v>37827775</v>
      </c>
    </row>
    <row r="144" spans="1:1">
      <c r="A144" s="100">
        <v>34492029</v>
      </c>
    </row>
    <row r="145" spans="1:1">
      <c r="A145" s="100">
        <v>38702476</v>
      </c>
    </row>
    <row r="146" spans="1:1">
      <c r="A146" s="100">
        <v>34904745</v>
      </c>
    </row>
    <row r="147" spans="1:1">
      <c r="A147" s="100">
        <v>55350832</v>
      </c>
    </row>
    <row r="148" spans="1:1">
      <c r="A148" s="100">
        <v>24612864</v>
      </c>
    </row>
    <row r="149" spans="1:1">
      <c r="A149" s="100">
        <v>23911721</v>
      </c>
    </row>
    <row r="150" spans="1:1">
      <c r="A150" s="100">
        <v>29539867</v>
      </c>
    </row>
    <row r="151" spans="1:1">
      <c r="A151" s="100">
        <v>27873274</v>
      </c>
    </row>
    <row r="152" spans="1:1">
      <c r="A152" s="100">
        <v>28268123</v>
      </c>
    </row>
    <row r="153" spans="1:1">
      <c r="A153" s="100">
        <v>23028055</v>
      </c>
    </row>
    <row r="154" spans="1:1">
      <c r="A154" s="100">
        <v>34818111</v>
      </c>
    </row>
    <row r="155" spans="1:1">
      <c r="A155" s="100">
        <v>36933985</v>
      </c>
    </row>
    <row r="156" spans="1:1">
      <c r="A156" s="100">
        <v>36127665</v>
      </c>
    </row>
    <row r="157" spans="1:1">
      <c r="A157" s="100">
        <v>37431994</v>
      </c>
    </row>
    <row r="158" spans="1:1">
      <c r="A158" s="100">
        <v>37903379</v>
      </c>
    </row>
    <row r="159" spans="1:1">
      <c r="A159" s="100">
        <v>34303317</v>
      </c>
    </row>
    <row r="160" spans="1:1">
      <c r="A160" s="100">
        <v>30195076</v>
      </c>
    </row>
    <row r="161" spans="1:1">
      <c r="A161" s="100">
        <v>50464665</v>
      </c>
    </row>
    <row r="162" spans="1:1">
      <c r="A162" s="100">
        <v>37104286</v>
      </c>
    </row>
    <row r="163" spans="1:1">
      <c r="A163" s="100">
        <v>37391028</v>
      </c>
    </row>
    <row r="164" spans="1:1">
      <c r="A164" s="100">
        <v>29137772</v>
      </c>
    </row>
    <row r="165" spans="1:1">
      <c r="A165" s="100">
        <v>37658964</v>
      </c>
    </row>
    <row r="166" spans="1:1">
      <c r="A166" s="100">
        <v>22826833</v>
      </c>
    </row>
    <row r="167" spans="1:1">
      <c r="A167" s="100">
        <v>39360345</v>
      </c>
    </row>
    <row r="168" spans="1:1">
      <c r="A168" s="100">
        <v>38257261</v>
      </c>
    </row>
    <row r="169" spans="1:1">
      <c r="A169" s="100">
        <v>22803114</v>
      </c>
    </row>
    <row r="170" spans="1:1">
      <c r="A170" s="100">
        <v>34848803</v>
      </c>
    </row>
    <row r="171" spans="1:1">
      <c r="A171" s="100">
        <v>36981960</v>
      </c>
    </row>
    <row r="172" spans="1:1">
      <c r="A172" s="100">
        <v>37402269</v>
      </c>
    </row>
    <row r="173" spans="1:1">
      <c r="A173" s="100">
        <v>80165615</v>
      </c>
    </row>
    <row r="174" spans="1:1">
      <c r="A174" s="100">
        <v>55694204</v>
      </c>
    </row>
    <row r="175" spans="1:1">
      <c r="A175" s="100" t="s">
        <v>601</v>
      </c>
    </row>
    <row r="176" spans="1:1">
      <c r="A176" s="100" t="s">
        <v>601</v>
      </c>
    </row>
    <row r="177" spans="1:1">
      <c r="A177" s="100" t="s">
        <v>601</v>
      </c>
    </row>
    <row r="178" spans="1:1">
      <c r="A178" s="100" t="s">
        <v>601</v>
      </c>
    </row>
    <row r="179" spans="1:1">
      <c r="A179" s="100" t="s">
        <v>601</v>
      </c>
    </row>
    <row r="180" spans="1:1">
      <c r="A180" s="100" t="s">
        <v>601</v>
      </c>
    </row>
    <row r="181" spans="1:1">
      <c r="A181" s="100" t="s">
        <v>601</v>
      </c>
    </row>
    <row r="182" spans="1:1">
      <c r="A182" s="100">
        <v>24355996</v>
      </c>
    </row>
    <row r="183" spans="1:1">
      <c r="A183" s="100">
        <v>26961679</v>
      </c>
    </row>
    <row r="184" spans="1:1">
      <c r="A184" s="100">
        <v>38974650</v>
      </c>
    </row>
    <row r="185" spans="1:1">
      <c r="A185" s="100">
        <v>37093815</v>
      </c>
    </row>
    <row r="186" spans="1:1">
      <c r="A186" s="100">
        <v>37093815</v>
      </c>
    </row>
    <row r="187" spans="1:1">
      <c r="A187" s="100">
        <v>37093815</v>
      </c>
    </row>
    <row r="188" spans="1:1">
      <c r="A188" s="100">
        <v>36800953</v>
      </c>
    </row>
    <row r="189" spans="1:1">
      <c r="A189" s="100">
        <v>90220558</v>
      </c>
    </row>
    <row r="190" spans="1:1">
      <c r="A190" s="100">
        <v>34114822</v>
      </c>
    </row>
    <row r="191" spans="1:1">
      <c r="A191" s="100">
        <v>36885564</v>
      </c>
    </row>
    <row r="192" spans="1:1">
      <c r="A192" s="100">
        <v>90220558</v>
      </c>
    </row>
    <row r="193" spans="1:1">
      <c r="A193" s="100">
        <v>19953159</v>
      </c>
    </row>
    <row r="194" spans="1:1">
      <c r="A194" s="100">
        <v>29949410</v>
      </c>
    </row>
    <row r="195" spans="1:1">
      <c r="A195" s="100">
        <v>19897336</v>
      </c>
    </row>
    <row r="196" spans="1:1">
      <c r="A196" s="100">
        <v>27859914</v>
      </c>
    </row>
    <row r="197" spans="1:1">
      <c r="A197" s="100">
        <v>57546701</v>
      </c>
    </row>
    <row r="198" spans="1:1">
      <c r="A198" s="100">
        <v>28300386</v>
      </c>
    </row>
    <row r="199" spans="1:1">
      <c r="A199" s="100">
        <v>27742218</v>
      </c>
    </row>
    <row r="200" spans="1:1">
      <c r="A200" s="100">
        <v>36349784</v>
      </c>
    </row>
    <row r="201" spans="1:1">
      <c r="A201" s="100">
        <v>39841862</v>
      </c>
    </row>
    <row r="202" spans="1:1">
      <c r="A202" s="100">
        <v>34286999</v>
      </c>
    </row>
    <row r="203" spans="1:1">
      <c r="A203" s="100">
        <v>35527571</v>
      </c>
    </row>
    <row r="204" spans="1:1">
      <c r="A204" s="100">
        <v>37078053</v>
      </c>
    </row>
    <row r="205" spans="1:1">
      <c r="A205" s="100">
        <v>37078053</v>
      </c>
    </row>
    <row r="206" spans="1:1">
      <c r="A206" s="100">
        <v>37078053</v>
      </c>
    </row>
    <row r="207" spans="1:1">
      <c r="A207" s="100">
        <v>37078053</v>
      </c>
    </row>
    <row r="208" spans="1:1">
      <c r="A208" s="100">
        <v>37078053</v>
      </c>
    </row>
    <row r="209" spans="1:1">
      <c r="A209" s="100">
        <v>36717371</v>
      </c>
    </row>
    <row r="210" spans="1:1">
      <c r="A210" s="100">
        <v>35716899</v>
      </c>
    </row>
    <row r="211" spans="1:1">
      <c r="A211" s="100">
        <v>36534457</v>
      </c>
    </row>
    <row r="212" spans="1:1">
      <c r="A212" s="100">
        <v>36485425</v>
      </c>
    </row>
    <row r="213" spans="1:1">
      <c r="A213" s="100">
        <v>28755354</v>
      </c>
    </row>
    <row r="214" spans="1:1">
      <c r="A214" s="100">
        <v>34658429</v>
      </c>
    </row>
    <row r="215" spans="1:1">
      <c r="A215" s="100">
        <v>25018049</v>
      </c>
    </row>
    <row r="216" spans="1:1">
      <c r="A216" s="100">
        <v>30489912</v>
      </c>
    </row>
    <row r="217" spans="1:1">
      <c r="A217" s="100">
        <v>55437906</v>
      </c>
    </row>
    <row r="218" spans="1:1">
      <c r="A218" s="100">
        <v>24694139</v>
      </c>
    </row>
    <row r="219" spans="1:1">
      <c r="A219" s="100">
        <v>38272099</v>
      </c>
    </row>
    <row r="220" spans="1:1">
      <c r="A220" s="100">
        <v>38272099</v>
      </c>
    </row>
    <row r="221" spans="1:1">
      <c r="A221" s="100">
        <v>21925862</v>
      </c>
    </row>
    <row r="222" spans="1:1">
      <c r="A222" s="100">
        <v>27367814</v>
      </c>
    </row>
    <row r="223" spans="1:1">
      <c r="A223" s="100">
        <v>40052283</v>
      </c>
    </row>
    <row r="224" spans="1:1">
      <c r="A224" s="100">
        <v>40052283</v>
      </c>
    </row>
    <row r="225" spans="1:1">
      <c r="A225" s="100">
        <v>40071339</v>
      </c>
    </row>
    <row r="226" spans="1:1">
      <c r="A226" s="100">
        <v>38765608</v>
      </c>
    </row>
    <row r="227" spans="1:1">
      <c r="A227" s="100">
        <v>55481170</v>
      </c>
    </row>
    <row r="228" spans="1:1">
      <c r="A228" s="100">
        <v>35538024</v>
      </c>
    </row>
    <row r="229" spans="1:1">
      <c r="A229" s="100">
        <v>37387789</v>
      </c>
    </row>
    <row r="230" spans="1:1">
      <c r="A230" s="100">
        <v>22768454</v>
      </c>
    </row>
    <row r="231" spans="1:1">
      <c r="A231" s="100">
        <v>18170495</v>
      </c>
    </row>
    <row r="232" spans="1:1">
      <c r="A232" s="100">
        <v>18170495</v>
      </c>
    </row>
    <row r="233" spans="1:1">
      <c r="A233" s="100">
        <v>18170495</v>
      </c>
    </row>
    <row r="234" spans="1:1">
      <c r="A234" s="100">
        <v>18170495</v>
      </c>
    </row>
    <row r="235" spans="1:1">
      <c r="A235" s="100">
        <v>20669753</v>
      </c>
    </row>
    <row r="236" spans="1:1">
      <c r="A236" s="100">
        <v>38052039</v>
      </c>
    </row>
    <row r="237" spans="1:1">
      <c r="A237" s="100">
        <v>30851116</v>
      </c>
    </row>
    <row r="238" spans="1:1">
      <c r="A238" s="100">
        <v>13529780</v>
      </c>
    </row>
    <row r="239" spans="1:1">
      <c r="A239" s="100">
        <v>33955873</v>
      </c>
    </row>
    <row r="240" spans="1:1">
      <c r="A240" s="100">
        <v>34017712</v>
      </c>
    </row>
    <row r="241" spans="1:1">
      <c r="A241" s="100">
        <v>38101422</v>
      </c>
    </row>
    <row r="242" spans="1:1">
      <c r="A242" s="100">
        <v>19780086</v>
      </c>
    </row>
    <row r="243" spans="1:1">
      <c r="A243" s="100">
        <v>19780086</v>
      </c>
    </row>
    <row r="244" spans="1:1">
      <c r="A244" s="100">
        <v>37168277</v>
      </c>
    </row>
    <row r="245" spans="1:1">
      <c r="A245" s="100">
        <v>21501254</v>
      </c>
    </row>
    <row r="246" spans="1:1">
      <c r="A246" s="100">
        <v>36935514</v>
      </c>
    </row>
    <row r="247" spans="1:1">
      <c r="A247" s="100">
        <v>35480039</v>
      </c>
    </row>
    <row r="248" spans="1:1">
      <c r="A248" s="100">
        <v>20837531</v>
      </c>
    </row>
    <row r="249" spans="1:1">
      <c r="A249" s="100">
        <v>33955873</v>
      </c>
    </row>
    <row r="250" spans="1:1">
      <c r="A250" s="100">
        <v>35013138</v>
      </c>
    </row>
    <row r="251" spans="1:1">
      <c r="A251" s="100">
        <v>17612949</v>
      </c>
    </row>
    <row r="252" spans="1:1">
      <c r="A252" s="100">
        <v>21998927</v>
      </c>
    </row>
    <row r="253" spans="1:1">
      <c r="A253" s="100">
        <v>32010818</v>
      </c>
    </row>
    <row r="254" spans="1:1">
      <c r="A254" s="100">
        <v>26880838</v>
      </c>
    </row>
    <row r="255" spans="1:1">
      <c r="A255" s="100">
        <v>19187143</v>
      </c>
    </row>
    <row r="256" spans="1:1">
      <c r="A256" s="100">
        <v>19187143</v>
      </c>
    </row>
    <row r="257" spans="1:1">
      <c r="A257" s="100">
        <v>40086720</v>
      </c>
    </row>
    <row r="258" spans="1:1">
      <c r="A258" s="100">
        <v>39390294</v>
      </c>
    </row>
    <row r="259" spans="1:1">
      <c r="A259" s="100">
        <v>34625172</v>
      </c>
    </row>
    <row r="260" spans="1:1">
      <c r="A260" s="100">
        <v>38540526</v>
      </c>
    </row>
    <row r="261" spans="1:1">
      <c r="A261" s="100">
        <v>35801415</v>
      </c>
    </row>
    <row r="262" spans="1:1">
      <c r="A262" s="100">
        <v>39778824</v>
      </c>
    </row>
    <row r="263" spans="1:1">
      <c r="A263" s="100">
        <v>29644973</v>
      </c>
    </row>
    <row r="264" spans="1:1">
      <c r="A264" s="100">
        <v>27927763</v>
      </c>
    </row>
    <row r="265" spans="1:1">
      <c r="A265" s="100">
        <v>27815008</v>
      </c>
    </row>
    <row r="266" spans="1:1">
      <c r="A266" s="100">
        <v>90217255</v>
      </c>
    </row>
    <row r="267" spans="1:1">
      <c r="A267" s="100">
        <v>21466408</v>
      </c>
    </row>
    <row r="268" spans="1:1">
      <c r="A268" s="100">
        <v>27162634</v>
      </c>
    </row>
    <row r="269" spans="1:1">
      <c r="A269" s="100">
        <v>27162634</v>
      </c>
    </row>
    <row r="270" spans="1:1">
      <c r="A270" s="100">
        <v>26836926</v>
      </c>
    </row>
    <row r="271" spans="1:1">
      <c r="A271" s="100">
        <v>22502602</v>
      </c>
    </row>
    <row r="272" spans="1:1">
      <c r="A272" s="100">
        <v>25634241</v>
      </c>
    </row>
    <row r="273" spans="1:1">
      <c r="A273" s="100">
        <v>27878216</v>
      </c>
    </row>
    <row r="274" spans="1:1">
      <c r="A274" s="100">
        <v>17935369</v>
      </c>
    </row>
    <row r="275" spans="1:1">
      <c r="A275" s="100">
        <v>70950708</v>
      </c>
    </row>
    <row r="276" spans="1:1">
      <c r="A276" s="100">
        <v>39656960</v>
      </c>
    </row>
    <row r="277" spans="1:1">
      <c r="A277" s="100">
        <v>37813417</v>
      </c>
    </row>
    <row r="278" spans="1:1">
      <c r="A278" s="100">
        <v>34061977</v>
      </c>
    </row>
    <row r="279" spans="1:1">
      <c r="A279" s="100">
        <v>34061977</v>
      </c>
    </row>
    <row r="280" spans="1:1">
      <c r="A280" s="100">
        <v>24784018</v>
      </c>
    </row>
    <row r="281" spans="1:1">
      <c r="A281" s="100">
        <v>36709840</v>
      </c>
    </row>
    <row r="282" spans="1:1">
      <c r="A282" s="100">
        <v>34874509</v>
      </c>
    </row>
    <row r="283" spans="1:1">
      <c r="A283" s="100">
        <v>19787797</v>
      </c>
    </row>
    <row r="284" spans="1:1">
      <c r="A284" s="100">
        <v>37057996</v>
      </c>
    </row>
    <row r="285" spans="1:1">
      <c r="A285" s="100">
        <v>32090697</v>
      </c>
    </row>
    <row r="286" spans="1:1">
      <c r="A286" s="100">
        <v>30019758</v>
      </c>
    </row>
    <row r="287" spans="1:1">
      <c r="A287" s="100">
        <v>34114822</v>
      </c>
    </row>
    <row r="288" spans="1:1">
      <c r="A288" s="100">
        <v>70595672</v>
      </c>
    </row>
    <row r="289" spans="1:1">
      <c r="A289" s="100">
        <v>38846194</v>
      </c>
    </row>
    <row r="290" spans="1:1">
      <c r="A290" s="100">
        <v>26936912</v>
      </c>
    </row>
    <row r="291" spans="1:1">
      <c r="A291" s="100">
        <v>40137865</v>
      </c>
    </row>
    <row r="292" spans="1:1">
      <c r="A292" s="100">
        <v>38672870</v>
      </c>
    </row>
    <row r="293" spans="1:1">
      <c r="A293" s="100">
        <v>26961679</v>
      </c>
    </row>
    <row r="294" spans="1:1">
      <c r="A294" s="100">
        <v>25902207</v>
      </c>
    </row>
    <row r="295" spans="1:1">
      <c r="A295" s="100">
        <v>28012034</v>
      </c>
    </row>
    <row r="296" spans="1:1">
      <c r="A296" s="100">
        <v>28716219</v>
      </c>
    </row>
    <row r="297" spans="1:1">
      <c r="A297" s="100">
        <v>35948445</v>
      </c>
    </row>
    <row r="298" spans="1:1">
      <c r="A298" s="100">
        <v>35948445</v>
      </c>
    </row>
    <row r="299" spans="1:1">
      <c r="A299" s="100">
        <v>28012034</v>
      </c>
    </row>
    <row r="300" spans="1:1">
      <c r="A300" s="100">
        <v>60784311</v>
      </c>
    </row>
    <row r="301" spans="1:1">
      <c r="A301" s="100">
        <v>25902207</v>
      </c>
    </row>
    <row r="302" spans="1:1">
      <c r="A302" s="100">
        <v>34900673</v>
      </c>
    </row>
    <row r="303" spans="1:1">
      <c r="A303" s="100">
        <v>36840541</v>
      </c>
    </row>
    <row r="304" spans="1:1">
      <c r="A304" s="100">
        <v>33374915</v>
      </c>
    </row>
    <row r="305" spans="1:1">
      <c r="A305" s="100">
        <v>60784311</v>
      </c>
    </row>
    <row r="306" spans="1:1">
      <c r="A306" s="100">
        <v>28716219</v>
      </c>
    </row>
    <row r="307" spans="1:1">
      <c r="A307" s="100">
        <v>33085825</v>
      </c>
    </row>
    <row r="308" spans="1:1">
      <c r="A308" s="100">
        <v>34322853</v>
      </c>
    </row>
    <row r="309" spans="1:1">
      <c r="A309" s="100">
        <v>38031203</v>
      </c>
    </row>
    <row r="310" spans="1:1">
      <c r="A310" s="100" t="s">
        <v>601</v>
      </c>
    </row>
    <row r="311" spans="1:1">
      <c r="A311" s="100">
        <v>26936912</v>
      </c>
    </row>
    <row r="312" spans="1:1">
      <c r="A312" s="100">
        <v>40137865</v>
      </c>
    </row>
    <row r="313" spans="1:1">
      <c r="A313" s="100">
        <v>26961679</v>
      </c>
    </row>
    <row r="314" spans="1:1">
      <c r="A314" s="100">
        <v>29949410</v>
      </c>
    </row>
    <row r="315" spans="1:1">
      <c r="A315" s="100">
        <v>27859914</v>
      </c>
    </row>
    <row r="316" spans="1:1">
      <c r="A316" s="100">
        <v>19953159</v>
      </c>
    </row>
    <row r="317" spans="1:1">
      <c r="A317" s="100">
        <v>38029850</v>
      </c>
    </row>
    <row r="318" spans="1:1">
      <c r="A318" s="100">
        <v>36575492</v>
      </c>
    </row>
    <row r="319" spans="1:1">
      <c r="A319" s="100">
        <v>36646595</v>
      </c>
    </row>
    <row r="320" spans="1:1">
      <c r="A320" s="100">
        <v>37568796</v>
      </c>
    </row>
    <row r="321" spans="1:1">
      <c r="A321" s="100">
        <v>38076253</v>
      </c>
    </row>
    <row r="322" spans="1:1">
      <c r="A322" s="100">
        <v>37605086</v>
      </c>
    </row>
    <row r="323" spans="1:1">
      <c r="A323" s="102">
        <v>39350563</v>
      </c>
    </row>
    <row r="324" spans="1:1">
      <c r="A324" s="100">
        <v>22775737</v>
      </c>
    </row>
    <row r="325" spans="1:1">
      <c r="A325" s="100">
        <v>39278869</v>
      </c>
    </row>
    <row r="326" spans="1:1">
      <c r="A326" s="100">
        <v>38131356</v>
      </c>
    </row>
    <row r="327" spans="1:1">
      <c r="A327" s="100">
        <v>37921450</v>
      </c>
    </row>
    <row r="328" spans="1:1">
      <c r="A328" s="100">
        <v>55531711</v>
      </c>
    </row>
    <row r="329" spans="1:1">
      <c r="A329" s="100">
        <v>17935127</v>
      </c>
    </row>
    <row r="330" spans="1:1">
      <c r="A330" s="100">
        <v>37064072</v>
      </c>
    </row>
    <row r="331" spans="1:1">
      <c r="A331" s="100">
        <v>38099654</v>
      </c>
    </row>
    <row r="332" spans="1:1">
      <c r="A332" s="100">
        <v>38637876</v>
      </c>
    </row>
    <row r="333" spans="1:1">
      <c r="A333" s="100">
        <v>37856540</v>
      </c>
    </row>
    <row r="334" spans="1:1">
      <c r="A334" s="100">
        <v>18043231</v>
      </c>
    </row>
    <row r="335" spans="1:1">
      <c r="A335" s="100">
        <v>33191823</v>
      </c>
    </row>
    <row r="336" spans="1:1">
      <c r="A336" s="100">
        <v>38588472</v>
      </c>
    </row>
    <row r="337" spans="1:1">
      <c r="A337" s="100">
        <v>36027664</v>
      </c>
    </row>
    <row r="338" spans="1:1">
      <c r="A338" s="100">
        <v>20643428</v>
      </c>
    </row>
    <row r="339" spans="1:1">
      <c r="A339" s="100">
        <v>38776756</v>
      </c>
    </row>
    <row r="340" spans="1:1">
      <c r="A340" s="100">
        <v>30159099</v>
      </c>
    </row>
    <row r="341" spans="1:1">
      <c r="A341" s="100">
        <v>29552669</v>
      </c>
    </row>
    <row r="342" spans="1:1">
      <c r="A342" s="100">
        <v>38007964</v>
      </c>
    </row>
    <row r="343" spans="1:1">
      <c r="A343" s="100">
        <v>37373619</v>
      </c>
    </row>
    <row r="344" spans="1:1">
      <c r="A344" s="100">
        <v>35491867</v>
      </c>
    </row>
    <row r="345" spans="1:1">
      <c r="A345" s="100">
        <v>37007143</v>
      </c>
    </row>
    <row r="346" spans="1:1">
      <c r="A346" s="100">
        <v>37007143</v>
      </c>
    </row>
    <row r="347" spans="1:1">
      <c r="A347" s="100">
        <v>27491258</v>
      </c>
    </row>
    <row r="348" spans="1:1">
      <c r="A348" s="100">
        <v>36718104</v>
      </c>
    </row>
    <row r="349" spans="1:1">
      <c r="A349" s="100">
        <v>35221027</v>
      </c>
    </row>
    <row r="350" spans="1:1">
      <c r="A350" s="100">
        <v>22161797</v>
      </c>
    </row>
    <row r="351" spans="1:1">
      <c r="A351" s="100">
        <v>37931009</v>
      </c>
    </row>
    <row r="352" spans="1:1">
      <c r="A352" s="100">
        <v>37931009</v>
      </c>
    </row>
    <row r="353" spans="1:1">
      <c r="A353" s="100">
        <v>37931009</v>
      </c>
    </row>
    <row r="354" spans="1:1">
      <c r="A354" s="100">
        <v>37931009</v>
      </c>
    </row>
    <row r="355" spans="1:1">
      <c r="A355" s="100">
        <v>37931009</v>
      </c>
    </row>
    <row r="356" spans="1:1">
      <c r="A356" s="100">
        <v>18326767</v>
      </c>
    </row>
    <row r="357" spans="1:1">
      <c r="A357" s="100">
        <v>18326767</v>
      </c>
    </row>
    <row r="358" spans="1:1">
      <c r="A358" s="100">
        <v>18326767</v>
      </c>
    </row>
    <row r="359" spans="1:1">
      <c r="A359" s="100">
        <v>18326767</v>
      </c>
    </row>
    <row r="360" spans="1:1">
      <c r="A360" s="100">
        <v>18326767</v>
      </c>
    </row>
    <row r="361" spans="1:1">
      <c r="A361" s="100">
        <v>20492145</v>
      </c>
    </row>
    <row r="362" spans="1:1">
      <c r="A362" s="100">
        <v>26809184</v>
      </c>
    </row>
    <row r="363" spans="1:1">
      <c r="A363" s="100">
        <v>27134424</v>
      </c>
    </row>
    <row r="364" spans="1:1">
      <c r="A364" s="100">
        <v>34362739</v>
      </c>
    </row>
    <row r="365" spans="1:1">
      <c r="A365" s="100">
        <v>31931507</v>
      </c>
    </row>
    <row r="366" spans="1:1">
      <c r="A366" s="100">
        <v>35881629</v>
      </c>
    </row>
    <row r="367" spans="1:1">
      <c r="A367" s="100">
        <v>28318501</v>
      </c>
    </row>
    <row r="368" spans="1:1">
      <c r="A368" s="100">
        <v>28318501</v>
      </c>
    </row>
    <row r="369" spans="1:1">
      <c r="A369" s="100">
        <v>40131718</v>
      </c>
    </row>
    <row r="370" spans="1:1">
      <c r="A370" s="100">
        <v>23071803</v>
      </c>
    </row>
    <row r="371" spans="1:1">
      <c r="A371" s="100">
        <v>25312330</v>
      </c>
    </row>
    <row r="372" spans="1:1">
      <c r="A372" s="100">
        <v>23680838</v>
      </c>
    </row>
    <row r="373" spans="1:1">
      <c r="A373" s="100">
        <v>34871624</v>
      </c>
    </row>
    <row r="374" spans="1:1">
      <c r="A374" s="100">
        <v>29255665</v>
      </c>
    </row>
    <row r="375" spans="1:1">
      <c r="A375" s="100">
        <v>27216827</v>
      </c>
    </row>
    <row r="376" spans="1:1">
      <c r="A376" s="100">
        <v>28162719</v>
      </c>
    </row>
    <row r="377" spans="1:1">
      <c r="A377" s="100">
        <v>34484128</v>
      </c>
    </row>
    <row r="378" spans="1:1">
      <c r="A378" s="100">
        <v>36250420</v>
      </c>
    </row>
    <row r="379" spans="1:1">
      <c r="A379" s="100">
        <v>35898386</v>
      </c>
    </row>
    <row r="380" spans="1:1">
      <c r="A380" s="100">
        <v>36275580</v>
      </c>
    </row>
    <row r="381" spans="1:1">
      <c r="A381" s="100">
        <v>35952203</v>
      </c>
    </row>
    <row r="382" spans="1:1">
      <c r="A382" s="100">
        <v>29822937</v>
      </c>
    </row>
    <row r="383" spans="1:1">
      <c r="A383" s="100">
        <v>35409192</v>
      </c>
    </row>
    <row r="384" spans="1:1">
      <c r="A384" s="100">
        <v>33209713</v>
      </c>
    </row>
    <row r="385" spans="1:1">
      <c r="A385" s="100">
        <v>26678376</v>
      </c>
    </row>
    <row r="386" spans="1:1">
      <c r="A386" s="100">
        <v>24326424</v>
      </c>
    </row>
    <row r="387" spans="1:1">
      <c r="A387" s="100">
        <v>70552601</v>
      </c>
    </row>
    <row r="388" spans="1:1">
      <c r="A388" s="100">
        <v>34319331</v>
      </c>
    </row>
    <row r="389" spans="1:1">
      <c r="A389" s="100">
        <v>36337743</v>
      </c>
    </row>
    <row r="390" spans="1:1">
      <c r="A390" s="100">
        <v>39900779</v>
      </c>
    </row>
    <row r="391" spans="1:1">
      <c r="A391" s="100">
        <v>30692035</v>
      </c>
    </row>
    <row r="392" spans="1:1">
      <c r="A392" s="100">
        <v>18656097</v>
      </c>
    </row>
    <row r="393" spans="1:1">
      <c r="A393" s="100">
        <v>39568724</v>
      </c>
    </row>
    <row r="394" spans="1:1">
      <c r="A394" s="100">
        <v>19897336</v>
      </c>
    </row>
    <row r="395" spans="1:1">
      <c r="A395" s="100">
        <v>21950846</v>
      </c>
    </row>
    <row r="396" spans="1:1">
      <c r="A396" s="100">
        <v>21950846</v>
      </c>
    </row>
    <row r="397" spans="1:1">
      <c r="A397" s="100">
        <v>31070115</v>
      </c>
    </row>
    <row r="398" spans="1:1">
      <c r="A398" s="100">
        <v>19897336</v>
      </c>
    </row>
    <row r="399" spans="1:1">
      <c r="A399" s="100">
        <v>39199263</v>
      </c>
    </row>
    <row r="400" spans="1:1">
      <c r="A400" s="100">
        <v>33114864</v>
      </c>
    </row>
    <row r="401" spans="1:1">
      <c r="A401" s="100">
        <v>35711980</v>
      </c>
    </row>
    <row r="402" spans="1:1">
      <c r="A402" s="100">
        <v>36121258</v>
      </c>
    </row>
    <row r="403" spans="1:1">
      <c r="A403" s="100">
        <v>37711709</v>
      </c>
    </row>
    <row r="404" spans="1:1">
      <c r="A404" s="100">
        <v>34968471</v>
      </c>
    </row>
    <row r="405" spans="1:1">
      <c r="A405" s="100">
        <v>25489768</v>
      </c>
    </row>
    <row r="406" spans="1:1">
      <c r="A406" s="100">
        <v>37855822</v>
      </c>
    </row>
    <row r="407" spans="1:1">
      <c r="A407" s="100">
        <v>37855822</v>
      </c>
    </row>
    <row r="408" spans="1:1">
      <c r="A408" s="100">
        <v>18175158</v>
      </c>
    </row>
    <row r="409" spans="1:1">
      <c r="A409" s="100">
        <v>27702188</v>
      </c>
    </row>
    <row r="410" spans="1:1">
      <c r="A410" s="100">
        <v>40186677</v>
      </c>
    </row>
    <row r="411" spans="1:1">
      <c r="A411" s="100">
        <v>39980561</v>
      </c>
    </row>
    <row r="412" spans="1:1">
      <c r="A412" s="100">
        <v>39980561</v>
      </c>
    </row>
    <row r="413" spans="1:1">
      <c r="A413" s="100">
        <v>25906135</v>
      </c>
    </row>
    <row r="414" spans="1:1">
      <c r="A414" s="100">
        <v>28356066</v>
      </c>
    </row>
    <row r="415" spans="1:1">
      <c r="A415" s="100">
        <v>39397610</v>
      </c>
    </row>
    <row r="416" spans="1:1">
      <c r="A416" s="100">
        <v>40137497</v>
      </c>
    </row>
    <row r="417" spans="1:1">
      <c r="A417" s="100">
        <v>38030554</v>
      </c>
    </row>
    <row r="418" spans="1:1">
      <c r="A418" s="100">
        <v>34982313</v>
      </c>
    </row>
    <row r="419" spans="1:1">
      <c r="A419" s="100">
        <v>39887038</v>
      </c>
    </row>
    <row r="420" spans="1:1">
      <c r="A420" s="100">
        <v>38644070</v>
      </c>
    </row>
    <row r="421" spans="1:1">
      <c r="A421" s="100">
        <v>24750856</v>
      </c>
    </row>
    <row r="422" spans="1:1">
      <c r="A422" s="100">
        <v>40110245</v>
      </c>
    </row>
    <row r="423" spans="1:1">
      <c r="A423" s="100">
        <v>29546684</v>
      </c>
    </row>
    <row r="424" spans="1:1">
      <c r="A424" s="100">
        <v>17254745</v>
      </c>
    </row>
    <row r="425" spans="1:1">
      <c r="A425" s="100">
        <v>19110117</v>
      </c>
    </row>
    <row r="426" spans="1:1">
      <c r="A426" s="100">
        <v>32527391</v>
      </c>
    </row>
    <row r="427" spans="1:1">
      <c r="A427" s="100">
        <v>40016067</v>
      </c>
    </row>
    <row r="428" spans="1:1">
      <c r="A428" s="100">
        <v>37737787</v>
      </c>
    </row>
    <row r="429" spans="1:1">
      <c r="A429" s="100">
        <v>37736393</v>
      </c>
    </row>
    <row r="430" spans="1:1">
      <c r="A430" s="100">
        <v>23856615</v>
      </c>
    </row>
    <row r="431" spans="1:1">
      <c r="A431" s="100">
        <v>35966047</v>
      </c>
    </row>
    <row r="432" spans="1:1">
      <c r="A432" s="100">
        <v>35966047</v>
      </c>
    </row>
    <row r="433" spans="1:1">
      <c r="A433" s="100">
        <v>23571538</v>
      </c>
    </row>
    <row r="434" spans="1:1">
      <c r="A434" s="100">
        <v>33749235</v>
      </c>
    </row>
    <row r="435" spans="1:1">
      <c r="A435" s="100">
        <v>35829054</v>
      </c>
    </row>
    <row r="436" spans="1:1">
      <c r="A436" s="100">
        <v>35604514</v>
      </c>
    </row>
    <row r="437" spans="1:1">
      <c r="A437" s="100" t="s">
        <v>601</v>
      </c>
    </row>
    <row r="438" spans="1:1">
      <c r="A438" s="100">
        <v>17141774</v>
      </c>
    </row>
    <row r="439" spans="1:1">
      <c r="A439" s="100">
        <v>17141774</v>
      </c>
    </row>
    <row r="440" spans="1:1">
      <c r="A440" s="100">
        <v>27892548</v>
      </c>
    </row>
    <row r="441" spans="1:1">
      <c r="A441" s="100">
        <v>32666847</v>
      </c>
    </row>
    <row r="442" spans="1:1">
      <c r="A442" s="100">
        <v>36938047</v>
      </c>
    </row>
    <row r="443" spans="1:1">
      <c r="A443" s="100">
        <v>26121729</v>
      </c>
    </row>
    <row r="444" spans="1:1">
      <c r="A444" s="100">
        <v>35962785</v>
      </c>
    </row>
    <row r="445" spans="1:1">
      <c r="A445" s="100">
        <v>19159821</v>
      </c>
    </row>
    <row r="446" spans="1:1">
      <c r="A446" s="100">
        <v>38078233</v>
      </c>
    </row>
    <row r="447" spans="1:1">
      <c r="A447" s="100">
        <v>31806170</v>
      </c>
    </row>
    <row r="448" spans="1:1">
      <c r="A448" s="100">
        <v>31971362</v>
      </c>
    </row>
    <row r="449" spans="1:1">
      <c r="A449" s="100">
        <v>20512701</v>
      </c>
    </row>
    <row r="450" spans="1:1">
      <c r="A450" s="100">
        <v>39556293</v>
      </c>
    </row>
    <row r="451" spans="1:1">
      <c r="A451" s="100">
        <v>20492145</v>
      </c>
    </row>
    <row r="452" spans="1:1">
      <c r="A452" s="100">
        <v>22289055</v>
      </c>
    </row>
    <row r="453" spans="1:1">
      <c r="A453" s="100">
        <v>40014924</v>
      </c>
    </row>
    <row r="454" spans="1:1">
      <c r="A454" s="100">
        <v>32142321</v>
      </c>
    </row>
    <row r="455" spans="1:1">
      <c r="A455" s="100">
        <v>26883617</v>
      </c>
    </row>
    <row r="456" spans="1:1">
      <c r="A456" s="100">
        <v>26883617</v>
      </c>
    </row>
    <row r="457" spans="1:1">
      <c r="A457" s="100">
        <v>23042817</v>
      </c>
    </row>
    <row r="458" spans="1:1">
      <c r="A458" s="100">
        <v>12979750</v>
      </c>
    </row>
    <row r="459" spans="1:1">
      <c r="A459" s="100">
        <v>36844748</v>
      </c>
    </row>
    <row r="460" spans="1:1">
      <c r="A460" s="100">
        <v>39491637</v>
      </c>
    </row>
    <row r="461" spans="1:1">
      <c r="A461" s="100">
        <v>27999787</v>
      </c>
    </row>
    <row r="462" spans="1:1">
      <c r="A462" s="100">
        <v>90065162</v>
      </c>
    </row>
    <row r="463" spans="1:1">
      <c r="A463" s="100">
        <v>35596523</v>
      </c>
    </row>
    <row r="464" spans="1:1">
      <c r="A464" s="100">
        <v>39590347</v>
      </c>
    </row>
    <row r="465" spans="1:1">
      <c r="A465" s="100">
        <v>24869938</v>
      </c>
    </row>
    <row r="466" spans="1:1">
      <c r="A466" s="100">
        <v>32924025</v>
      </c>
    </row>
    <row r="467" spans="1:1">
      <c r="A467" s="100">
        <v>32393695</v>
      </c>
    </row>
    <row r="468" spans="1:1">
      <c r="A468" s="100">
        <v>35454130</v>
      </c>
    </row>
    <row r="469" spans="1:1">
      <c r="A469" s="100">
        <v>35454130</v>
      </c>
    </row>
    <row r="470" spans="1:1">
      <c r="A470" s="100">
        <v>35454130</v>
      </c>
    </row>
    <row r="471" spans="1:1">
      <c r="A471" s="100">
        <v>35454130</v>
      </c>
    </row>
    <row r="472" spans="1:1">
      <c r="A472" s="100">
        <v>37822002</v>
      </c>
    </row>
    <row r="473" spans="1:1">
      <c r="A473" s="100">
        <v>70954097</v>
      </c>
    </row>
    <row r="474" spans="1:1">
      <c r="A474" s="100">
        <v>12978127</v>
      </c>
    </row>
    <row r="475" spans="1:1">
      <c r="A475" s="100">
        <v>36158283</v>
      </c>
    </row>
    <row r="476" spans="1:1">
      <c r="A476" s="100">
        <v>31768907</v>
      </c>
    </row>
    <row r="477" spans="1:1">
      <c r="A477" s="100">
        <v>39463830</v>
      </c>
    </row>
    <row r="478" spans="1:1">
      <c r="A478" s="100">
        <v>26614581</v>
      </c>
    </row>
    <row r="479" spans="1:1">
      <c r="A479" s="100">
        <v>40109211</v>
      </c>
    </row>
    <row r="480" spans="1:1">
      <c r="A480" s="100">
        <v>25414562</v>
      </c>
    </row>
    <row r="481" spans="1:1">
      <c r="A481" s="100">
        <v>36605494</v>
      </c>
    </row>
    <row r="482" spans="1:1">
      <c r="A482" s="100">
        <v>36605494</v>
      </c>
    </row>
    <row r="483" spans="1:1">
      <c r="A483" s="100">
        <v>31375265</v>
      </c>
    </row>
    <row r="484" spans="1:1">
      <c r="A484" s="100">
        <v>31375265</v>
      </c>
    </row>
    <row r="485" spans="1:1">
      <c r="A485" s="100">
        <v>26760861</v>
      </c>
    </row>
    <row r="486" spans="1:1">
      <c r="A486" s="100">
        <v>25505124</v>
      </c>
    </row>
    <row r="487" spans="1:1">
      <c r="A487" s="100">
        <v>33955408</v>
      </c>
    </row>
    <row r="488" spans="1:1">
      <c r="A488" s="100">
        <v>20570862</v>
      </c>
    </row>
    <row r="489" spans="1:1">
      <c r="A489" s="100">
        <v>60658447</v>
      </c>
    </row>
    <row r="490" spans="1:1">
      <c r="A490" s="100">
        <v>32403201</v>
      </c>
    </row>
    <row r="491" spans="1:1">
      <c r="A491" s="100">
        <v>39909102</v>
      </c>
    </row>
    <row r="492" spans="1:1">
      <c r="A492" s="100">
        <v>35966047</v>
      </c>
    </row>
    <row r="493" spans="1:1">
      <c r="A493" s="100">
        <v>35966047</v>
      </c>
    </row>
    <row r="494" spans="1:1">
      <c r="A494" s="100">
        <v>17920006</v>
      </c>
    </row>
    <row r="495" spans="1:1">
      <c r="A495" s="100">
        <v>18720828</v>
      </c>
    </row>
    <row r="496" spans="1:1">
      <c r="A496" s="100">
        <v>39229209</v>
      </c>
    </row>
    <row r="497" spans="1:1">
      <c r="A497" s="100">
        <v>39229209</v>
      </c>
    </row>
    <row r="498" spans="1:1">
      <c r="A498" s="100">
        <v>37290003</v>
      </c>
    </row>
    <row r="499" spans="1:1">
      <c r="A499" s="100">
        <v>39820907</v>
      </c>
    </row>
    <row r="500" spans="1:1">
      <c r="A500" s="100">
        <v>25323411</v>
      </c>
    </row>
    <row r="501" spans="1:1">
      <c r="A501" s="100">
        <v>36748984</v>
      </c>
    </row>
    <row r="502" spans="1:1">
      <c r="A502" s="100">
        <v>36748984</v>
      </c>
    </row>
    <row r="503" spans="1:1">
      <c r="A503" s="100">
        <v>23433268</v>
      </c>
    </row>
    <row r="504" spans="1:1">
      <c r="A504" s="100">
        <v>50228861</v>
      </c>
    </row>
    <row r="505" spans="1:1">
      <c r="A505" s="100">
        <v>50228861</v>
      </c>
    </row>
    <row r="506" spans="1:1">
      <c r="A506" s="100">
        <v>50228861</v>
      </c>
    </row>
    <row r="507" spans="1:1">
      <c r="A507" s="100">
        <v>38824196</v>
      </c>
    </row>
    <row r="508" spans="1:1">
      <c r="A508" s="100">
        <v>38824196</v>
      </c>
    </row>
    <row r="509" spans="1:1">
      <c r="A509" s="100">
        <v>37574148</v>
      </c>
    </row>
    <row r="510" spans="1:1">
      <c r="A510" s="100">
        <v>37574148</v>
      </c>
    </row>
    <row r="511" spans="1:1">
      <c r="A511" s="100">
        <v>38525638</v>
      </c>
    </row>
    <row r="512" spans="1:1">
      <c r="A512" s="100">
        <v>19606439</v>
      </c>
    </row>
    <row r="513" spans="1:1">
      <c r="A513" s="100">
        <v>37545986</v>
      </c>
    </row>
    <row r="514" spans="1:1">
      <c r="A514" s="100">
        <v>40218279</v>
      </c>
    </row>
    <row r="515" spans="1:1">
      <c r="A515" s="100">
        <v>34843609</v>
      </c>
    </row>
    <row r="516" spans="1:1">
      <c r="A516" s="100">
        <v>18078258</v>
      </c>
    </row>
    <row r="517" spans="1:1">
      <c r="A517" s="100">
        <v>55481170</v>
      </c>
    </row>
    <row r="518" spans="1:1">
      <c r="A518" s="100">
        <v>50550202</v>
      </c>
    </row>
    <row r="519" spans="1:1">
      <c r="A519" s="100">
        <v>38869189</v>
      </c>
    </row>
    <row r="520" spans="1:1">
      <c r="A520" s="100">
        <v>38602408</v>
      </c>
    </row>
    <row r="521" spans="1:1">
      <c r="A521" s="100">
        <v>19327287</v>
      </c>
    </row>
    <row r="522" spans="1:1">
      <c r="A522" s="100">
        <v>28202296</v>
      </c>
    </row>
    <row r="523" spans="1:1">
      <c r="A523" s="100">
        <v>35187485</v>
      </c>
    </row>
    <row r="524" spans="1:1">
      <c r="A524" s="100">
        <v>35187485</v>
      </c>
    </row>
    <row r="525" spans="1:1">
      <c r="A525" s="100">
        <v>26505062</v>
      </c>
    </row>
    <row r="526" spans="1:1">
      <c r="A526" s="100">
        <v>26505062</v>
      </c>
    </row>
    <row r="527" spans="1:1">
      <c r="A527" s="100">
        <v>90103572</v>
      </c>
    </row>
    <row r="528" spans="1:1">
      <c r="A528" s="100">
        <v>37327019</v>
      </c>
    </row>
    <row r="529" spans="1:1">
      <c r="A529" s="100">
        <v>39482402</v>
      </c>
    </row>
    <row r="530" spans="1:1">
      <c r="A530" s="100">
        <v>39482402</v>
      </c>
    </row>
    <row r="531" spans="1:1">
      <c r="A531" s="100">
        <v>39482402</v>
      </c>
    </row>
    <row r="532" spans="1:1">
      <c r="A532" s="100">
        <v>39482402</v>
      </c>
    </row>
    <row r="533" spans="1:1">
      <c r="A533" s="100">
        <v>21457437</v>
      </c>
    </row>
    <row r="534" spans="1:1">
      <c r="A534" s="100">
        <v>35352466</v>
      </c>
    </row>
    <row r="535" spans="1:1">
      <c r="A535" s="100">
        <v>31653411</v>
      </c>
    </row>
    <row r="536" spans="1:1">
      <c r="A536" s="100">
        <v>24012642</v>
      </c>
    </row>
    <row r="537" spans="1:1">
      <c r="A537" s="100">
        <v>40027213</v>
      </c>
    </row>
    <row r="538" spans="1:1">
      <c r="A538" s="100">
        <v>40027213</v>
      </c>
    </row>
    <row r="539" spans="1:1">
      <c r="A539" s="100">
        <v>40027213</v>
      </c>
    </row>
    <row r="540" spans="1:1">
      <c r="A540" s="100">
        <v>40027213</v>
      </c>
    </row>
    <row r="541" spans="1:1">
      <c r="A541" s="100">
        <v>30535294</v>
      </c>
    </row>
    <row r="542" spans="1:1">
      <c r="A542" s="100">
        <v>21227171</v>
      </c>
    </row>
    <row r="543" spans="1:1">
      <c r="A543" s="100">
        <v>40011074</v>
      </c>
    </row>
    <row r="544" spans="1:1">
      <c r="A544" s="100">
        <v>40011074</v>
      </c>
    </row>
    <row r="545" spans="1:1">
      <c r="A545" s="100">
        <v>40011074</v>
      </c>
    </row>
    <row r="546" spans="1:1">
      <c r="A546" s="100">
        <v>22019895</v>
      </c>
    </row>
    <row r="547" spans="1:1">
      <c r="A547" s="100">
        <v>36573278</v>
      </c>
    </row>
    <row r="548" spans="1:1">
      <c r="A548" s="100">
        <v>40071402</v>
      </c>
    </row>
    <row r="549" spans="1:1">
      <c r="A549" s="100">
        <v>32853480</v>
      </c>
    </row>
    <row r="550" spans="1:1">
      <c r="A550" s="100">
        <v>17273980</v>
      </c>
    </row>
    <row r="551" spans="1:1">
      <c r="A551" s="100">
        <v>36560450</v>
      </c>
    </row>
    <row r="552" spans="1:1">
      <c r="A552" s="100">
        <v>38974650</v>
      </c>
    </row>
    <row r="553" spans="1:1">
      <c r="A553" s="100">
        <v>36881315</v>
      </c>
    </row>
    <row r="554" spans="1:1">
      <c r="A554" s="100">
        <v>34573612</v>
      </c>
    </row>
    <row r="555" spans="1:1">
      <c r="A555" s="100">
        <v>15265462</v>
      </c>
    </row>
    <row r="556" spans="1:1">
      <c r="A556" s="100">
        <v>32408188</v>
      </c>
    </row>
    <row r="557" spans="1:1">
      <c r="A557" s="100">
        <v>32408188</v>
      </c>
    </row>
    <row r="558" spans="1:1">
      <c r="A558" s="100">
        <v>35472878</v>
      </c>
    </row>
    <row r="559" spans="1:1">
      <c r="A559" s="100">
        <v>26029599</v>
      </c>
    </row>
    <row r="560" spans="1:1">
      <c r="A560" s="100">
        <v>26029599</v>
      </c>
    </row>
    <row r="561" spans="1:1">
      <c r="A561" s="100">
        <v>33714592</v>
      </c>
    </row>
    <row r="562" spans="1:1">
      <c r="A562" s="100">
        <v>33714592</v>
      </c>
    </row>
    <row r="563" spans="1:1">
      <c r="A563" s="100">
        <v>36099035</v>
      </c>
    </row>
    <row r="564" spans="1:1">
      <c r="A564" s="100">
        <v>37250500</v>
      </c>
    </row>
    <row r="565" spans="1:1">
      <c r="A565" s="100">
        <v>39384897</v>
      </c>
    </row>
    <row r="566" spans="1:1">
      <c r="A566" s="100">
        <v>33858345</v>
      </c>
    </row>
    <row r="567" spans="1:1">
      <c r="A567" s="100">
        <v>33858345</v>
      </c>
    </row>
    <row r="568" spans="1:1">
      <c r="A568" s="100">
        <v>27971583</v>
      </c>
    </row>
    <row r="569" spans="1:1">
      <c r="A569" s="100">
        <v>56341206</v>
      </c>
    </row>
    <row r="570" spans="1:1">
      <c r="A570" s="100">
        <v>20955793</v>
      </c>
    </row>
    <row r="571" spans="1:1">
      <c r="A571" s="100">
        <v>40075059</v>
      </c>
    </row>
    <row r="572" spans="1:1">
      <c r="A572" s="100">
        <v>40075059</v>
      </c>
    </row>
    <row r="573" spans="1:1">
      <c r="A573" s="100">
        <v>22701239</v>
      </c>
    </row>
    <row r="574" spans="1:1">
      <c r="A574" s="100">
        <v>22701239</v>
      </c>
    </row>
    <row r="575" spans="1:1">
      <c r="A575" s="100">
        <v>60204236</v>
      </c>
    </row>
    <row r="576" spans="1:1">
      <c r="A576" s="100">
        <v>60204236</v>
      </c>
    </row>
    <row r="577" spans="1:1">
      <c r="A577" s="100">
        <v>36727806</v>
      </c>
    </row>
    <row r="578" spans="1:1">
      <c r="A578" s="100">
        <v>14070362</v>
      </c>
    </row>
    <row r="579" spans="1:1">
      <c r="A579" s="100">
        <v>27931013</v>
      </c>
    </row>
    <row r="580" spans="1:1">
      <c r="A580" s="100">
        <v>39503375</v>
      </c>
    </row>
    <row r="581" spans="1:1">
      <c r="A581" s="100">
        <v>28640007</v>
      </c>
    </row>
    <row r="582" spans="1:1">
      <c r="A582" s="100">
        <v>71174130</v>
      </c>
    </row>
    <row r="583" spans="1:1">
      <c r="A583" s="100">
        <v>38009283</v>
      </c>
    </row>
    <row r="584" spans="1:1">
      <c r="A584" s="100">
        <v>38009283</v>
      </c>
    </row>
    <row r="585" spans="1:1">
      <c r="A585" s="100">
        <v>28878194</v>
      </c>
    </row>
    <row r="586" spans="1:1">
      <c r="A586" s="100">
        <v>36861271</v>
      </c>
    </row>
    <row r="587" spans="1:1">
      <c r="A587" s="100">
        <v>37497638</v>
      </c>
    </row>
    <row r="588" spans="1:1">
      <c r="A588" s="100">
        <v>37029257</v>
      </c>
    </row>
    <row r="589" spans="1:1">
      <c r="A589" s="100">
        <v>25378387</v>
      </c>
    </row>
    <row r="590" spans="1:1">
      <c r="A590" s="100">
        <v>36342226</v>
      </c>
    </row>
    <row r="591" spans="1:1">
      <c r="A591" s="100">
        <v>37967164</v>
      </c>
    </row>
    <row r="592" spans="1:1">
      <c r="A592" s="100">
        <v>37967164</v>
      </c>
    </row>
    <row r="593" spans="1:1">
      <c r="A593" s="100" t="s">
        <v>601</v>
      </c>
    </row>
    <row r="594" spans="1:1">
      <c r="A594" s="100" t="s">
        <v>601</v>
      </c>
    </row>
    <row r="595" spans="1:1">
      <c r="A595" s="100" t="s">
        <v>601</v>
      </c>
    </row>
    <row r="596" spans="1:1">
      <c r="A596" s="100" t="s">
        <v>601</v>
      </c>
    </row>
    <row r="597" spans="1:1">
      <c r="A597" s="100">
        <v>17854981</v>
      </c>
    </row>
    <row r="598" spans="1:1">
      <c r="A598" s="100">
        <v>17983235</v>
      </c>
    </row>
    <row r="599" spans="1:1">
      <c r="A599" s="100">
        <v>32636967</v>
      </c>
    </row>
    <row r="600" spans="1:1">
      <c r="A600" s="100">
        <v>33532741</v>
      </c>
    </row>
    <row r="601" spans="1:1">
      <c r="A601" s="100">
        <v>32797002</v>
      </c>
    </row>
    <row r="602" spans="1:1">
      <c r="A602" s="100">
        <v>36119048</v>
      </c>
    </row>
    <row r="603" spans="1:1">
      <c r="A603" s="100">
        <v>20088316</v>
      </c>
    </row>
    <row r="604" spans="1:1">
      <c r="A604" s="100">
        <v>40050026</v>
      </c>
    </row>
    <row r="605" spans="1:1">
      <c r="A605" s="100">
        <v>39110280</v>
      </c>
    </row>
    <row r="606" spans="1:1">
      <c r="A606" s="100">
        <v>33933226</v>
      </c>
    </row>
    <row r="607" spans="1:1">
      <c r="A607" s="100">
        <v>23726406</v>
      </c>
    </row>
    <row r="608" spans="1:1">
      <c r="A608" s="100">
        <v>39021375</v>
      </c>
    </row>
    <row r="609" spans="1:1">
      <c r="A609" s="100">
        <v>39936611</v>
      </c>
    </row>
    <row r="610" spans="1:1">
      <c r="A610" s="100">
        <v>28830578</v>
      </c>
    </row>
    <row r="611" spans="1:1">
      <c r="A611" s="100">
        <v>17010565</v>
      </c>
    </row>
    <row r="612" spans="1:1">
      <c r="A612" s="100">
        <v>39253117</v>
      </c>
    </row>
    <row r="613" spans="1:1">
      <c r="A613" s="100">
        <v>36797129</v>
      </c>
    </row>
    <row r="614" spans="1:1">
      <c r="A614" s="100">
        <v>30532441</v>
      </c>
    </row>
    <row r="615" spans="1:1">
      <c r="A615" s="100">
        <v>12998757</v>
      </c>
    </row>
    <row r="616" spans="1:1">
      <c r="A616" s="100">
        <v>13902572</v>
      </c>
    </row>
    <row r="617" spans="1:1">
      <c r="A617" s="100">
        <v>32539981</v>
      </c>
    </row>
    <row r="618" spans="1:1">
      <c r="A618" s="100">
        <v>90255761</v>
      </c>
    </row>
    <row r="619" spans="1:1">
      <c r="A619" s="100">
        <v>17345215</v>
      </c>
    </row>
    <row r="620" spans="1:1">
      <c r="A620" s="100">
        <v>35931026</v>
      </c>
    </row>
    <row r="621" spans="1:1">
      <c r="A621" s="100">
        <v>90028862</v>
      </c>
    </row>
    <row r="622" spans="1:1">
      <c r="A622" s="100">
        <v>90028862</v>
      </c>
    </row>
    <row r="623" spans="1:1">
      <c r="A623" s="100">
        <v>38113782</v>
      </c>
    </row>
    <row r="624" spans="1:1">
      <c r="A624" s="100">
        <v>30679562</v>
      </c>
    </row>
    <row r="625" spans="1:1">
      <c r="A625" s="100">
        <v>28452956</v>
      </c>
    </row>
    <row r="626" spans="1:1">
      <c r="A626" s="100">
        <v>27900000</v>
      </c>
    </row>
    <row r="627" spans="1:1">
      <c r="A627" s="100">
        <v>32729913</v>
      </c>
    </row>
    <row r="628" spans="1:1">
      <c r="A628" s="100">
        <v>40026881</v>
      </c>
    </row>
    <row r="629" spans="1:1">
      <c r="A629" s="100">
        <v>39539510</v>
      </c>
    </row>
    <row r="630" spans="1:1">
      <c r="A630" s="100">
        <v>50357385</v>
      </c>
    </row>
    <row r="631" spans="1:1">
      <c r="A631" s="100">
        <v>38006418</v>
      </c>
    </row>
    <row r="632" spans="1:1">
      <c r="A632" s="100">
        <v>34630030</v>
      </c>
    </row>
    <row r="633" spans="1:1">
      <c r="A633" s="100">
        <v>20496540</v>
      </c>
    </row>
    <row r="634" spans="1:1">
      <c r="A634" s="100">
        <v>31620922</v>
      </c>
    </row>
    <row r="635" spans="1:1">
      <c r="A635" s="100">
        <v>28372337</v>
      </c>
    </row>
    <row r="636" spans="1:1">
      <c r="A636" s="100">
        <v>37241826</v>
      </c>
    </row>
    <row r="637" spans="1:1">
      <c r="A637" s="100">
        <v>37241826</v>
      </c>
    </row>
    <row r="638" spans="1:1">
      <c r="A638" s="100">
        <v>90215119</v>
      </c>
    </row>
    <row r="639" spans="1:1">
      <c r="A639" s="100">
        <v>90215119</v>
      </c>
    </row>
    <row r="640" spans="1:1">
      <c r="A640" s="100">
        <v>35111162</v>
      </c>
    </row>
    <row r="641" spans="1:1">
      <c r="A641" s="100">
        <v>10713318</v>
      </c>
    </row>
    <row r="642" spans="1:1">
      <c r="A642" s="100">
        <v>35882135</v>
      </c>
    </row>
    <row r="643" spans="1:1">
      <c r="A643" s="100">
        <v>35882135</v>
      </c>
    </row>
    <row r="644" spans="1:1">
      <c r="A644" s="100">
        <v>39021283</v>
      </c>
    </row>
    <row r="645" spans="1:1">
      <c r="A645" s="100">
        <v>26829090</v>
      </c>
    </row>
    <row r="646" spans="1:1">
      <c r="A646" s="100">
        <v>40190628</v>
      </c>
    </row>
    <row r="647" spans="1:1">
      <c r="A647" s="100">
        <v>24785599</v>
      </c>
    </row>
    <row r="648" spans="1:1">
      <c r="A648" s="100">
        <v>40138281</v>
      </c>
    </row>
    <row r="649" spans="1:1">
      <c r="A649" s="100">
        <v>40138281</v>
      </c>
    </row>
    <row r="650" spans="1:1">
      <c r="A650" s="100">
        <v>38324014</v>
      </c>
    </row>
    <row r="651" spans="1:1">
      <c r="A651" s="100">
        <v>38094802</v>
      </c>
    </row>
    <row r="652" spans="1:1">
      <c r="A652" s="100">
        <v>17620485</v>
      </c>
    </row>
    <row r="653" spans="1:1">
      <c r="A653" s="100">
        <v>39521069</v>
      </c>
    </row>
    <row r="654" spans="1:1">
      <c r="A654" s="100">
        <v>37713899</v>
      </c>
    </row>
    <row r="655" spans="1:1">
      <c r="A655" s="100">
        <v>37802010</v>
      </c>
    </row>
    <row r="656" spans="1:1">
      <c r="A656" s="100">
        <v>37738029</v>
      </c>
    </row>
    <row r="657" spans="1:1">
      <c r="A657" s="100">
        <v>35834352</v>
      </c>
    </row>
    <row r="658" spans="1:1">
      <c r="A658" s="100">
        <v>33401397</v>
      </c>
    </row>
    <row r="659" spans="1:1">
      <c r="A659" s="100">
        <v>33745571</v>
      </c>
    </row>
    <row r="660" spans="1:1">
      <c r="A660" s="100">
        <v>30966843</v>
      </c>
    </row>
    <row r="661" spans="1:1">
      <c r="A661" s="100">
        <v>36892746</v>
      </c>
    </row>
    <row r="662" spans="1:1">
      <c r="A662" s="100">
        <v>35297770</v>
      </c>
    </row>
    <row r="663" spans="1:1">
      <c r="A663" s="100">
        <v>39377120</v>
      </c>
    </row>
    <row r="664" spans="1:1">
      <c r="A664" s="100">
        <v>40158376</v>
      </c>
    </row>
    <row r="665" spans="1:1">
      <c r="A665" s="100">
        <v>39872794</v>
      </c>
    </row>
    <row r="666" spans="1:1">
      <c r="A666" s="100">
        <v>27421133</v>
      </c>
    </row>
    <row r="667" spans="1:1">
      <c r="A667" s="100">
        <v>27421133</v>
      </c>
    </row>
    <row r="668" spans="1:1">
      <c r="A668" s="100">
        <v>35408822</v>
      </c>
    </row>
    <row r="669" spans="1:1">
      <c r="A669" s="100">
        <v>38868876</v>
      </c>
    </row>
    <row r="670" spans="1:1">
      <c r="A670" s="100">
        <v>37481872</v>
      </c>
    </row>
    <row r="671" spans="1:1">
      <c r="A671" s="100">
        <v>37481872</v>
      </c>
    </row>
    <row r="672" spans="1:1">
      <c r="A672" s="100">
        <v>37481872</v>
      </c>
    </row>
    <row r="673" spans="1:1">
      <c r="A673" s="100">
        <v>70623316</v>
      </c>
    </row>
    <row r="674" spans="1:1">
      <c r="A674" s="100">
        <v>30736804</v>
      </c>
    </row>
    <row r="675" spans="1:1">
      <c r="A675" s="100">
        <v>32332801</v>
      </c>
    </row>
    <row r="676" spans="1:1">
      <c r="A676" s="100">
        <v>32332801</v>
      </c>
    </row>
    <row r="677" spans="1:1">
      <c r="A677" s="100">
        <v>19362449</v>
      </c>
    </row>
    <row r="678" spans="1:1">
      <c r="A678" s="100">
        <v>22247473</v>
      </c>
    </row>
    <row r="679" spans="1:1">
      <c r="A679" s="100">
        <v>37888362</v>
      </c>
    </row>
    <row r="680" spans="1:1">
      <c r="A680" s="100">
        <v>31885826</v>
      </c>
    </row>
    <row r="681" spans="1:1">
      <c r="A681" s="100">
        <v>80044739</v>
      </c>
    </row>
    <row r="682" spans="1:1">
      <c r="A682" s="100">
        <v>37136506</v>
      </c>
    </row>
    <row r="683" spans="1:1">
      <c r="A683" s="100">
        <v>27067537</v>
      </c>
    </row>
    <row r="684" spans="1:1">
      <c r="A684" s="100">
        <v>34054066</v>
      </c>
    </row>
    <row r="685" spans="1:1">
      <c r="A685" s="100">
        <v>21649698</v>
      </c>
    </row>
    <row r="686" spans="1:1">
      <c r="A686" s="100">
        <v>30728024</v>
      </c>
    </row>
    <row r="687" spans="1:1">
      <c r="A687" s="100">
        <v>28157477</v>
      </c>
    </row>
    <row r="688" spans="1:1">
      <c r="A688" s="100">
        <v>26610393</v>
      </c>
    </row>
    <row r="689" spans="1:1">
      <c r="A689" s="100">
        <v>31898020</v>
      </c>
    </row>
    <row r="690" spans="1:1">
      <c r="A690" s="100">
        <v>31076904</v>
      </c>
    </row>
    <row r="691" spans="1:1">
      <c r="A691" s="100">
        <v>38112302</v>
      </c>
    </row>
    <row r="692" spans="1:1">
      <c r="A692" s="100">
        <v>40433775</v>
      </c>
    </row>
    <row r="693" spans="1:1">
      <c r="A693" s="100">
        <v>34396978</v>
      </c>
    </row>
    <row r="694" spans="1:1">
      <c r="A694" s="100">
        <v>34396978</v>
      </c>
    </row>
    <row r="695" spans="1:1">
      <c r="A695" s="100">
        <v>33634648</v>
      </c>
    </row>
    <row r="696" spans="1:1">
      <c r="A696" s="100">
        <v>33634648</v>
      </c>
    </row>
    <row r="697" spans="1:1">
      <c r="A697" s="100">
        <v>12580822</v>
      </c>
    </row>
    <row r="698" spans="1:1">
      <c r="A698" s="100">
        <v>70257250</v>
      </c>
    </row>
    <row r="699" spans="1:1">
      <c r="A699" s="100">
        <v>31263457</v>
      </c>
    </row>
    <row r="700" spans="1:1">
      <c r="A700" s="100">
        <v>31610901</v>
      </c>
    </row>
    <row r="701" spans="1:1">
      <c r="A701" s="100">
        <v>37234407</v>
      </c>
    </row>
    <row r="702" spans="1:1">
      <c r="A702" s="100">
        <v>37782206</v>
      </c>
    </row>
    <row r="703" spans="1:1">
      <c r="A703" s="100">
        <v>34822462</v>
      </c>
    </row>
    <row r="704" spans="1:1">
      <c r="A704" s="100">
        <v>21886793</v>
      </c>
    </row>
    <row r="705" spans="1:1">
      <c r="A705" s="100">
        <v>23492259</v>
      </c>
    </row>
    <row r="706" spans="1:1">
      <c r="A706" s="100">
        <v>37953615</v>
      </c>
    </row>
    <row r="707" spans="1:1">
      <c r="A707" s="100">
        <v>38868876</v>
      </c>
    </row>
    <row r="708" spans="1:1">
      <c r="A708" s="100">
        <v>32419226</v>
      </c>
    </row>
    <row r="709" spans="1:1">
      <c r="A709" s="100">
        <v>17467832</v>
      </c>
    </row>
    <row r="710" spans="1:1">
      <c r="A710" s="100">
        <v>29430517</v>
      </c>
    </row>
    <row r="711" spans="1:1">
      <c r="A711" s="100">
        <v>37578844</v>
      </c>
    </row>
    <row r="712" spans="1:1">
      <c r="A712" s="100">
        <v>30384928</v>
      </c>
    </row>
    <row r="713" spans="1:1">
      <c r="A713" s="100">
        <v>57546701</v>
      </c>
    </row>
    <row r="714" spans="1:1">
      <c r="A714" s="100">
        <v>24681692</v>
      </c>
    </row>
    <row r="715" spans="1:1">
      <c r="A715" s="100">
        <v>36253062</v>
      </c>
    </row>
    <row r="716" spans="1:1">
      <c r="A716" s="100">
        <v>32029206</v>
      </c>
    </row>
    <row r="717" spans="1:1">
      <c r="A717" s="100">
        <v>26161981</v>
      </c>
    </row>
    <row r="718" spans="1:1">
      <c r="A718" s="100">
        <v>34581433</v>
      </c>
    </row>
    <row r="719" spans="1:1">
      <c r="A719" s="100">
        <v>25748411</v>
      </c>
    </row>
    <row r="720" spans="1:1">
      <c r="A720" s="100">
        <v>21487250</v>
      </c>
    </row>
    <row r="721" spans="1:1">
      <c r="A721" s="100">
        <v>36759465</v>
      </c>
    </row>
    <row r="722" spans="1:1">
      <c r="A722" s="100">
        <v>21487250</v>
      </c>
    </row>
    <row r="723" spans="1:1">
      <c r="A723" s="100">
        <v>36759465</v>
      </c>
    </row>
    <row r="724" spans="1:1">
      <c r="A724" s="100">
        <v>35368000</v>
      </c>
    </row>
    <row r="725" spans="1:1">
      <c r="A725" s="100">
        <v>19265084</v>
      </c>
    </row>
    <row r="726" spans="1:1">
      <c r="A726" s="100">
        <v>35285977</v>
      </c>
    </row>
    <row r="727" spans="1:1">
      <c r="A727" s="100">
        <v>40680907</v>
      </c>
    </row>
    <row r="728" spans="1:1">
      <c r="A728" s="100">
        <v>40680907</v>
      </c>
    </row>
    <row r="729" spans="1:1">
      <c r="A729" s="100">
        <v>50198930</v>
      </c>
    </row>
    <row r="730" spans="1:1">
      <c r="A730" s="100">
        <v>50198930</v>
      </c>
    </row>
    <row r="731" spans="1:1">
      <c r="A731" s="100" t="s">
        <v>601</v>
      </c>
    </row>
    <row r="732" spans="1:1">
      <c r="A732" s="100" t="s">
        <v>601</v>
      </c>
    </row>
    <row r="733" spans="1:1">
      <c r="A733" s="100" t="s">
        <v>601</v>
      </c>
    </row>
    <row r="734" spans="1:1">
      <c r="A734" s="100" t="s">
        <v>601</v>
      </c>
    </row>
    <row r="735" spans="1:1">
      <c r="A735" s="100" t="s">
        <v>601</v>
      </c>
    </row>
    <row r="736" spans="1:1">
      <c r="A736" s="100">
        <v>17092775</v>
      </c>
    </row>
    <row r="737" spans="1:1">
      <c r="A737" s="100">
        <v>25130042</v>
      </c>
    </row>
    <row r="738" spans="1:1">
      <c r="A738" s="100">
        <v>26113465</v>
      </c>
    </row>
    <row r="739" spans="1:1">
      <c r="A739" s="100">
        <v>31222216</v>
      </c>
    </row>
    <row r="740" spans="1:1">
      <c r="A740" s="100">
        <v>37107636</v>
      </c>
    </row>
    <row r="741" spans="1:1">
      <c r="A741" s="100">
        <v>39624831</v>
      </c>
    </row>
    <row r="742" spans="1:1">
      <c r="A742" s="100">
        <v>18162253</v>
      </c>
    </row>
    <row r="743" spans="1:1">
      <c r="A743" s="100">
        <v>36726851</v>
      </c>
    </row>
    <row r="744" spans="1:1">
      <c r="A744" s="100">
        <v>23602290</v>
      </c>
    </row>
    <row r="745" spans="1:1">
      <c r="A745" s="100">
        <v>36223611</v>
      </c>
    </row>
    <row r="746" spans="1:1">
      <c r="A746" s="100">
        <v>35336833</v>
      </c>
    </row>
    <row r="747" spans="1:1">
      <c r="A747" s="100">
        <v>35336833</v>
      </c>
    </row>
    <row r="748" spans="1:1">
      <c r="A748" s="100">
        <v>26804706</v>
      </c>
    </row>
    <row r="749" spans="1:1">
      <c r="A749" s="100">
        <v>19401481</v>
      </c>
    </row>
    <row r="750" spans="1:1">
      <c r="A750" s="100">
        <v>19401481</v>
      </c>
    </row>
    <row r="751" spans="1:1">
      <c r="A751" s="100">
        <v>19401481</v>
      </c>
    </row>
    <row r="752" spans="1:1">
      <c r="A752" s="100">
        <v>19401481</v>
      </c>
    </row>
    <row r="753" spans="1:1">
      <c r="A753" s="100">
        <v>28954846</v>
      </c>
    </row>
    <row r="754" spans="1:1">
      <c r="A754" s="100">
        <v>40160458</v>
      </c>
    </row>
    <row r="755" spans="1:1">
      <c r="A755" s="100">
        <v>37874200</v>
      </c>
    </row>
    <row r="756" spans="1:1">
      <c r="A756" s="100">
        <v>19870074</v>
      </c>
    </row>
    <row r="757" spans="1:1">
      <c r="A757" s="100" t="s">
        <v>601</v>
      </c>
    </row>
    <row r="758" spans="1:1">
      <c r="A758" s="100">
        <v>39938604</v>
      </c>
    </row>
    <row r="759" spans="1:1">
      <c r="A759" s="100">
        <v>29468957</v>
      </c>
    </row>
    <row r="760" spans="1:1">
      <c r="A760" s="100">
        <v>70595759</v>
      </c>
    </row>
    <row r="761" spans="1:1">
      <c r="A761" s="100">
        <v>28165490</v>
      </c>
    </row>
    <row r="762" spans="1:1">
      <c r="A762" s="100">
        <v>36881733</v>
      </c>
    </row>
    <row r="763" spans="1:1">
      <c r="A763" s="100">
        <v>34578046</v>
      </c>
    </row>
    <row r="764" spans="1:1">
      <c r="A764" s="100">
        <v>34519584</v>
      </c>
    </row>
    <row r="765" spans="1:1">
      <c r="A765" s="100">
        <v>39305649</v>
      </c>
    </row>
    <row r="766" spans="1:1">
      <c r="A766" s="100">
        <v>26288644</v>
      </c>
    </row>
    <row r="767" spans="1:1">
      <c r="A767" s="100">
        <v>32856600</v>
      </c>
    </row>
    <row r="768" spans="1:1">
      <c r="A768" s="100">
        <v>32529037</v>
      </c>
    </row>
    <row r="769" spans="1:1">
      <c r="A769" s="100">
        <v>39779229</v>
      </c>
    </row>
    <row r="770" spans="1:1">
      <c r="A770" s="100">
        <v>39779229</v>
      </c>
    </row>
    <row r="771" spans="1:1">
      <c r="A771" s="100">
        <v>39779229</v>
      </c>
    </row>
    <row r="772" spans="1:1">
      <c r="A772" s="100">
        <v>38868595</v>
      </c>
    </row>
    <row r="773" spans="1:1">
      <c r="A773" s="100">
        <v>37751209</v>
      </c>
    </row>
    <row r="774" spans="1:1">
      <c r="A774" s="100">
        <v>40122700</v>
      </c>
    </row>
    <row r="775" spans="1:1">
      <c r="A775" s="100">
        <v>17930757</v>
      </c>
    </row>
    <row r="776" spans="1:1">
      <c r="A776" s="100">
        <v>31930639</v>
      </c>
    </row>
    <row r="777" spans="1:1">
      <c r="A777" s="100">
        <v>36399149</v>
      </c>
    </row>
    <row r="778" spans="1:1">
      <c r="A778" s="100">
        <v>25813561</v>
      </c>
    </row>
    <row r="779" spans="1:1">
      <c r="A779" s="100">
        <v>26880838</v>
      </c>
    </row>
    <row r="780" spans="1:1">
      <c r="A780" s="100">
        <v>37989032</v>
      </c>
    </row>
    <row r="781" spans="1:1">
      <c r="A781" s="100">
        <v>33337795</v>
      </c>
    </row>
    <row r="782" spans="1:1">
      <c r="A782" s="100">
        <v>21749169</v>
      </c>
    </row>
    <row r="783" spans="1:1">
      <c r="A783" s="100">
        <v>21262868</v>
      </c>
    </row>
    <row r="784" spans="1:1">
      <c r="A784" s="100">
        <v>40151659</v>
      </c>
    </row>
    <row r="785" spans="1:1">
      <c r="A785" s="100">
        <v>40151659</v>
      </c>
    </row>
    <row r="786" spans="1:1">
      <c r="A786" s="100">
        <v>25398352</v>
      </c>
    </row>
    <row r="787" spans="1:1">
      <c r="A787" s="100">
        <v>22504272</v>
      </c>
    </row>
    <row r="788" spans="1:1">
      <c r="A788" s="100">
        <v>31887586</v>
      </c>
    </row>
    <row r="789" spans="1:1">
      <c r="A789" s="100">
        <v>29433765</v>
      </c>
    </row>
    <row r="790" spans="1:1">
      <c r="A790" s="100">
        <v>31165925</v>
      </c>
    </row>
    <row r="791" spans="1:1">
      <c r="A791" s="100">
        <v>18787150</v>
      </c>
    </row>
    <row r="792" spans="1:1">
      <c r="A792" s="100">
        <v>18787150</v>
      </c>
    </row>
    <row r="793" spans="1:1">
      <c r="A793" s="100">
        <v>18787150</v>
      </c>
    </row>
    <row r="794" spans="1:1">
      <c r="A794" s="100">
        <v>20814511</v>
      </c>
    </row>
    <row r="795" spans="1:1">
      <c r="A795" s="100">
        <v>30592002</v>
      </c>
    </row>
    <row r="796" spans="1:1">
      <c r="A796" s="100">
        <v>33863842</v>
      </c>
    </row>
    <row r="797" spans="1:1">
      <c r="A797" s="100">
        <v>34290594</v>
      </c>
    </row>
    <row r="798" spans="1:1">
      <c r="A798" s="100">
        <v>24769352</v>
      </c>
    </row>
    <row r="799" spans="1:1">
      <c r="A799" s="100">
        <v>37159425</v>
      </c>
    </row>
    <row r="800" spans="1:1">
      <c r="A800" s="100">
        <v>27848585</v>
      </c>
    </row>
    <row r="801" spans="1:1">
      <c r="A801" s="100">
        <v>27848585</v>
      </c>
    </row>
    <row r="802" spans="1:1">
      <c r="A802" s="100">
        <v>50231624</v>
      </c>
    </row>
    <row r="803" spans="1:1">
      <c r="A803" s="100">
        <v>39572564</v>
      </c>
    </row>
    <row r="804" spans="1:1">
      <c r="A804" s="100">
        <v>10562999</v>
      </c>
    </row>
    <row r="805" spans="1:1">
      <c r="A805" s="100">
        <v>10562999</v>
      </c>
    </row>
    <row r="806" spans="1:1">
      <c r="A806" s="100">
        <v>40256169</v>
      </c>
    </row>
    <row r="807" spans="1:1">
      <c r="A807" s="100">
        <v>22259758</v>
      </c>
    </row>
    <row r="808" spans="1:1">
      <c r="A808" s="100">
        <v>36695005</v>
      </c>
    </row>
    <row r="809" spans="1:1">
      <c r="A809" s="100">
        <v>34736761</v>
      </c>
    </row>
    <row r="810" spans="1:1">
      <c r="A810" s="100">
        <v>25427794</v>
      </c>
    </row>
    <row r="811" spans="1:1">
      <c r="A811" s="100">
        <v>35535289</v>
      </c>
    </row>
    <row r="812" spans="1:1">
      <c r="A812" s="100">
        <v>36416283</v>
      </c>
    </row>
    <row r="813" spans="1:1">
      <c r="A813" s="100">
        <v>35904984</v>
      </c>
    </row>
    <row r="814" spans="1:1">
      <c r="A814" s="100">
        <v>37798505</v>
      </c>
    </row>
    <row r="815" spans="1:1">
      <c r="A815" s="100">
        <v>36577275</v>
      </c>
    </row>
    <row r="816" spans="1:1">
      <c r="A816" s="100">
        <v>17610027</v>
      </c>
    </row>
    <row r="817" spans="1:1">
      <c r="A817" s="100">
        <v>30629517</v>
      </c>
    </row>
    <row r="818" spans="1:1">
      <c r="A818" s="100">
        <v>37884880</v>
      </c>
    </row>
    <row r="819" spans="1:1">
      <c r="A819" s="100">
        <v>32636662</v>
      </c>
    </row>
    <row r="820" spans="1:1">
      <c r="A820" s="100">
        <v>34909404</v>
      </c>
    </row>
    <row r="821" spans="1:1">
      <c r="A821" s="100">
        <v>33550311</v>
      </c>
    </row>
    <row r="822" spans="1:1">
      <c r="A822" s="100">
        <v>38446172</v>
      </c>
    </row>
    <row r="823" spans="1:1">
      <c r="A823" s="100">
        <v>37381959</v>
      </c>
    </row>
    <row r="824" spans="1:1">
      <c r="A824" s="100">
        <v>20415920</v>
      </c>
    </row>
    <row r="825" spans="1:1">
      <c r="A825" s="100">
        <v>37635182</v>
      </c>
    </row>
    <row r="826" spans="1:1">
      <c r="A826" s="100">
        <v>37713660</v>
      </c>
    </row>
    <row r="827" spans="1:1">
      <c r="A827" s="100">
        <v>36670220</v>
      </c>
    </row>
    <row r="828" spans="1:1">
      <c r="A828" s="100">
        <v>38234812</v>
      </c>
    </row>
    <row r="829" spans="1:1">
      <c r="A829" s="100">
        <v>40250762</v>
      </c>
    </row>
    <row r="830" spans="1:1">
      <c r="A830" s="100">
        <v>36825571</v>
      </c>
    </row>
    <row r="831" spans="1:1">
      <c r="A831" s="100">
        <v>37601450</v>
      </c>
    </row>
    <row r="832" spans="1:1">
      <c r="A832" s="100">
        <v>37032486</v>
      </c>
    </row>
    <row r="833" spans="1:1">
      <c r="A833" s="100">
        <v>38800847</v>
      </c>
    </row>
    <row r="834" spans="1:1">
      <c r="A834" s="100">
        <v>26394242</v>
      </c>
    </row>
    <row r="835" spans="1:1">
      <c r="A835" s="100">
        <v>24508823</v>
      </c>
    </row>
    <row r="836" spans="1:1">
      <c r="A836" s="100">
        <v>40111605</v>
      </c>
    </row>
    <row r="837" spans="1:1">
      <c r="A837" s="100">
        <v>21772433</v>
      </c>
    </row>
    <row r="838" spans="1:1">
      <c r="A838" s="100" t="s">
        <v>601</v>
      </c>
    </row>
    <row r="839" spans="1:1">
      <c r="A839" s="100" t="s">
        <v>601</v>
      </c>
    </row>
    <row r="840" spans="1:1">
      <c r="A840" s="100">
        <v>32651531</v>
      </c>
    </row>
    <row r="841" spans="1:1">
      <c r="A841" s="100">
        <v>29649365</v>
      </c>
    </row>
    <row r="842" spans="1:1">
      <c r="A842" s="100">
        <v>27846060</v>
      </c>
    </row>
    <row r="843" spans="1:1">
      <c r="A843" s="100">
        <v>36366686</v>
      </c>
    </row>
    <row r="844" spans="1:1">
      <c r="A844" s="100">
        <v>38346423</v>
      </c>
    </row>
    <row r="845" spans="1:1">
      <c r="A845" s="100">
        <v>36884903</v>
      </c>
    </row>
    <row r="846" spans="1:1">
      <c r="A846" s="100">
        <v>19941558</v>
      </c>
    </row>
    <row r="847" spans="1:1">
      <c r="A847" s="100">
        <v>24827934</v>
      </c>
    </row>
    <row r="848" spans="1:1">
      <c r="A848" s="100">
        <v>37191814</v>
      </c>
    </row>
    <row r="849" spans="1:1">
      <c r="A849" s="100">
        <v>33591572</v>
      </c>
    </row>
    <row r="850" spans="1:1">
      <c r="A850" s="100">
        <v>35116361</v>
      </c>
    </row>
    <row r="851" spans="1:1">
      <c r="A851" s="100">
        <v>29656616</v>
      </c>
    </row>
    <row r="852" spans="1:1">
      <c r="A852" s="100">
        <v>26503135</v>
      </c>
    </row>
    <row r="853" spans="1:1">
      <c r="A853" s="100">
        <v>90032734</v>
      </c>
    </row>
    <row r="854" spans="1:1">
      <c r="A854" s="100">
        <v>37324970</v>
      </c>
    </row>
    <row r="855" spans="1:1">
      <c r="A855" s="100" t="s">
        <v>601</v>
      </c>
    </row>
    <row r="856" spans="1:1">
      <c r="A856" s="100" t="s">
        <v>601</v>
      </c>
    </row>
    <row r="857" spans="1:1">
      <c r="A857" s="100" t="s">
        <v>601</v>
      </c>
    </row>
    <row r="858" spans="1:1">
      <c r="A858" s="100" t="s">
        <v>601</v>
      </c>
    </row>
    <row r="859" spans="1:1">
      <c r="A859" s="100">
        <v>40110245</v>
      </c>
    </row>
    <row r="860" spans="1:1">
      <c r="A860" s="100">
        <v>24750856</v>
      </c>
    </row>
    <row r="861" spans="1:1">
      <c r="A861" s="100">
        <v>39691301</v>
      </c>
    </row>
    <row r="862" spans="1:1">
      <c r="A862" s="100">
        <v>37031783</v>
      </c>
    </row>
    <row r="863" spans="1:1">
      <c r="A863" s="100">
        <v>39236930</v>
      </c>
    </row>
    <row r="864" spans="1:1">
      <c r="A864" s="100">
        <v>39900075</v>
      </c>
    </row>
    <row r="865" spans="1:1">
      <c r="A865" s="100">
        <v>39208224</v>
      </c>
    </row>
    <row r="866" spans="1:1">
      <c r="A866" s="100">
        <v>36858225</v>
      </c>
    </row>
    <row r="867" spans="1:1">
      <c r="A867" s="100">
        <v>28887805</v>
      </c>
    </row>
    <row r="868" spans="1:1">
      <c r="A868" s="100">
        <v>32836694</v>
      </c>
    </row>
    <row r="869" spans="1:1">
      <c r="A869" s="100">
        <v>39933898</v>
      </c>
    </row>
    <row r="870" spans="1:1">
      <c r="A870" s="100">
        <v>37869169</v>
      </c>
    </row>
    <row r="871" spans="1:1">
      <c r="A871" s="100">
        <v>36762487</v>
      </c>
    </row>
    <row r="872" spans="1:1">
      <c r="A872" s="100">
        <v>36762487</v>
      </c>
    </row>
    <row r="873" spans="1:1">
      <c r="A873" s="100">
        <v>37437575</v>
      </c>
    </row>
    <row r="874" spans="1:1">
      <c r="A874" s="100">
        <v>38887199</v>
      </c>
    </row>
    <row r="875" spans="1:1">
      <c r="A875" s="100">
        <v>36583757</v>
      </c>
    </row>
    <row r="876" spans="1:1">
      <c r="A876" s="100">
        <v>37213076</v>
      </c>
    </row>
    <row r="877" spans="1:1">
      <c r="A877" s="100">
        <v>25768026</v>
      </c>
    </row>
    <row r="878" spans="1:1">
      <c r="A878" s="100">
        <v>25768026</v>
      </c>
    </row>
    <row r="879" spans="1:1">
      <c r="A879" s="100">
        <v>18260695</v>
      </c>
    </row>
    <row r="880" spans="1:1">
      <c r="A880" s="100">
        <v>70579957</v>
      </c>
    </row>
    <row r="881" spans="1:1">
      <c r="A881" s="100">
        <v>17462029</v>
      </c>
    </row>
    <row r="882" spans="1:1">
      <c r="A882" s="100">
        <v>28313066</v>
      </c>
    </row>
    <row r="883" spans="1:1">
      <c r="A883" s="100">
        <v>27850455</v>
      </c>
    </row>
    <row r="884" spans="1:1">
      <c r="A884" s="100">
        <v>27850455</v>
      </c>
    </row>
    <row r="885" spans="1:1">
      <c r="A885" s="100">
        <v>39879722</v>
      </c>
    </row>
    <row r="886" spans="1:1">
      <c r="A886" s="100">
        <v>39879722</v>
      </c>
    </row>
    <row r="887" spans="1:1">
      <c r="A887" s="100">
        <v>37945470</v>
      </c>
    </row>
    <row r="888" spans="1:1">
      <c r="A888" s="100">
        <v>22708352</v>
      </c>
    </row>
    <row r="889" spans="1:1">
      <c r="A889" s="100">
        <v>20650529</v>
      </c>
    </row>
    <row r="890" spans="1:1">
      <c r="A890" s="100">
        <v>25667555</v>
      </c>
    </row>
    <row r="891" spans="1:1">
      <c r="A891" s="100">
        <v>55437906</v>
      </c>
    </row>
    <row r="892" spans="1:1">
      <c r="A892" s="100">
        <v>33638256</v>
      </c>
    </row>
    <row r="893" spans="1:1">
      <c r="A893" s="100">
        <v>18227588</v>
      </c>
    </row>
    <row r="894" spans="1:1">
      <c r="A894" s="100">
        <v>18980600</v>
      </c>
    </row>
    <row r="895" spans="1:1">
      <c r="A895" s="100">
        <v>32276922</v>
      </c>
    </row>
    <row r="896" spans="1:1">
      <c r="A896" s="100">
        <v>29938872</v>
      </c>
    </row>
    <row r="897" spans="1:1">
      <c r="A897" s="100">
        <v>36459316</v>
      </c>
    </row>
    <row r="898" spans="1:1">
      <c r="A898" s="100">
        <v>40147918</v>
      </c>
    </row>
    <row r="899" spans="1:1">
      <c r="A899" s="100">
        <v>35553316</v>
      </c>
    </row>
    <row r="900" spans="1:1">
      <c r="A900" s="100">
        <v>70579515</v>
      </c>
    </row>
    <row r="901" spans="1:1">
      <c r="A901" s="100">
        <v>37149292</v>
      </c>
    </row>
    <row r="902" spans="1:1">
      <c r="A902" s="100">
        <v>30173891</v>
      </c>
    </row>
    <row r="903" spans="1:1">
      <c r="A903" s="100">
        <v>18408126</v>
      </c>
    </row>
    <row r="904" spans="1:1">
      <c r="A904" s="100">
        <v>90113588</v>
      </c>
    </row>
    <row r="905" spans="1:1">
      <c r="A905" s="100">
        <v>27390522</v>
      </c>
    </row>
    <row r="906" spans="1:1">
      <c r="A906" s="100">
        <v>27390522</v>
      </c>
    </row>
    <row r="907" spans="1:1">
      <c r="A907" s="100">
        <v>38151068</v>
      </c>
    </row>
    <row r="908" spans="1:1">
      <c r="A908" s="100">
        <v>28176640</v>
      </c>
    </row>
    <row r="909" spans="1:1">
      <c r="A909" s="100">
        <v>34740862</v>
      </c>
    </row>
    <row r="910" spans="1:1">
      <c r="A910" s="100">
        <v>28778888</v>
      </c>
    </row>
    <row r="911" spans="1:1">
      <c r="A911" s="100">
        <v>50168691</v>
      </c>
    </row>
    <row r="912" spans="1:1">
      <c r="A912" s="100">
        <v>40084760</v>
      </c>
    </row>
    <row r="913" spans="1:1">
      <c r="A913" s="100">
        <v>30481255</v>
      </c>
    </row>
    <row r="914" spans="1:1">
      <c r="A914" s="97">
        <v>26760861</v>
      </c>
    </row>
    <row r="915" spans="1:1">
      <c r="A915" s="97">
        <v>25505124</v>
      </c>
    </row>
    <row r="916" spans="1:1">
      <c r="A916" s="97">
        <v>33955408</v>
      </c>
    </row>
    <row r="917" spans="1:1">
      <c r="A917" s="97">
        <v>39997745</v>
      </c>
    </row>
    <row r="918" spans="1:1">
      <c r="A918" s="97">
        <v>34734736</v>
      </c>
    </row>
    <row r="919" spans="1:1">
      <c r="A919" s="97">
        <v>39678123</v>
      </c>
    </row>
    <row r="920" spans="1:1">
      <c r="A920" s="97">
        <v>39678123</v>
      </c>
    </row>
    <row r="921" spans="1:1">
      <c r="A921" s="97">
        <v>29927721</v>
      </c>
    </row>
    <row r="922" spans="1:1">
      <c r="A922" s="97">
        <v>37618730</v>
      </c>
    </row>
    <row r="923" spans="1:1">
      <c r="A923" s="97">
        <v>23611863</v>
      </c>
    </row>
    <row r="924" spans="1:1">
      <c r="A924" s="97">
        <v>35695398</v>
      </c>
    </row>
    <row r="925" spans="1:1">
      <c r="A925" s="97">
        <v>40055998</v>
      </c>
    </row>
    <row r="926" spans="1:1">
      <c r="A926" s="97">
        <v>40218162</v>
      </c>
    </row>
    <row r="927" spans="1:1">
      <c r="A927" s="97">
        <v>40218162</v>
      </c>
    </row>
    <row r="928" spans="1:1">
      <c r="A928" s="97">
        <v>40218162</v>
      </c>
    </row>
    <row r="929" spans="1:1">
      <c r="A929" s="100">
        <v>39862380</v>
      </c>
    </row>
    <row r="930" spans="1:1">
      <c r="A930" s="100">
        <v>39862380</v>
      </c>
    </row>
    <row r="931" spans="1:1">
      <c r="A931" s="100">
        <v>39862380</v>
      </c>
    </row>
    <row r="932" spans="1:1">
      <c r="A932" s="100">
        <v>33519236</v>
      </c>
    </row>
    <row r="933" spans="1:1">
      <c r="A933" s="100">
        <v>39803388</v>
      </c>
    </row>
    <row r="934" spans="1:1">
      <c r="A934" s="100">
        <v>23789558</v>
      </c>
    </row>
    <row r="935" spans="1:1">
      <c r="A935" s="100">
        <v>39834105</v>
      </c>
    </row>
    <row r="936" spans="1:1">
      <c r="A936" s="103" t="s">
        <v>601</v>
      </c>
    </row>
    <row r="937" spans="1:1">
      <c r="A937" s="103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Movil</vt:lpstr>
      <vt:lpstr>UPs</vt:lpstr>
      <vt:lpstr>Estadistica </vt:lpstr>
      <vt:lpstr>Prospectos 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 Sa</cp:lastModifiedBy>
  <cp:revision/>
  <dcterms:created xsi:type="dcterms:W3CDTF">2024-11-06T17:57:25Z</dcterms:created>
  <dcterms:modified xsi:type="dcterms:W3CDTF">2024-12-15T19:46:26Z</dcterms:modified>
  <cp:category/>
  <cp:contentStatus/>
</cp:coreProperties>
</file>