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mc:AlternateContent xmlns:mc="http://schemas.openxmlformats.org/markup-compatibility/2006">
    <mc:Choice Requires="x15">
      <x15ac:absPath xmlns:x15ac="http://schemas.microsoft.com/office/spreadsheetml/2010/11/ac" url="C:\Users\Benja\Desktop\"/>
    </mc:Choice>
  </mc:AlternateContent>
  <xr:revisionPtr revIDLastSave="1207" documentId="13_ncr:1_{9FC82473-6CE8-4EED-8DAD-7284D81C8A49}" xr6:coauthVersionLast="47" xr6:coauthVersionMax="47" xr10:uidLastSave="{B941EAD1-28DB-45D7-9D56-C37ED27A2D28}"/>
  <bookViews>
    <workbookView xWindow="-110" yWindow="-110" windowWidth="19420" windowHeight="10300" activeTab="1" xr2:uid="{00000000-000D-0000-FFFF-FFFF00000000}"/>
  </bookViews>
  <sheets>
    <sheet name="Coins" sheetId="14" r:id="rId1"/>
    <sheet name="Week" sheetId="12" r:id="rId2"/>
    <sheet name="Presupuesto" sheetId="13" r:id="rId3"/>
    <sheet name="Points" sheetId="8" r:id="rId4"/>
    <sheet name="Count" sheetId="10" r:id="rId5"/>
    <sheet name="Tabla Histórica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  <c r="R11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J11" i="14"/>
  <c r="J2" i="8"/>
  <c r="I20" i="8" s="1"/>
  <c r="D16" i="13"/>
  <c r="E16" i="13"/>
  <c r="F16" i="13"/>
  <c r="G16" i="13"/>
  <c r="C16" i="13"/>
  <c r="C19" i="14"/>
  <c r="S5" i="10"/>
  <c r="M7" i="10" s="1"/>
  <c r="R10" i="10"/>
  <c r="R9" i="10"/>
  <c r="R8" i="10"/>
  <c r="E9" i="14"/>
  <c r="J7" i="10"/>
  <c r="F9" i="14"/>
  <c r="I2" i="10"/>
  <c r="J2" i="13"/>
  <c r="I2" i="12"/>
  <c r="J2" i="14"/>
  <c r="R7" i="10"/>
  <c r="G9" i="12"/>
  <c r="J11" i="10"/>
  <c r="J10" i="10"/>
  <c r="J9" i="10"/>
  <c r="J8" i="10"/>
  <c r="J17" i="10"/>
  <c r="J6" i="10"/>
  <c r="C5" i="10"/>
  <c r="C14" i="10"/>
  <c r="C8" i="10"/>
  <c r="C17" i="10"/>
  <c r="C18" i="10" s="1"/>
  <c r="N7" i="13"/>
  <c r="F9" i="8"/>
  <c r="P9" i="8"/>
  <c r="Q9" i="8"/>
  <c r="G9" i="8"/>
  <c r="N7" i="10"/>
  <c r="L9" i="8"/>
  <c r="M9" i="8"/>
  <c r="N9" i="8"/>
  <c r="O9" i="8"/>
  <c r="E9" i="8"/>
  <c r="E11" i="8" s="1"/>
  <c r="H9" i="8"/>
  <c r="I9" i="8"/>
  <c r="J9" i="8"/>
  <c r="K9" i="8"/>
  <c r="B9" i="12"/>
  <c r="A10" i="12" s="1"/>
  <c r="B10" i="12" s="1"/>
  <c r="A11" i="12" s="1"/>
  <c r="B11" i="12" s="1"/>
  <c r="A12" i="12" s="1"/>
  <c r="B12" i="12" s="1"/>
  <c r="A13" i="12" s="1"/>
  <c r="B13" i="12" s="1"/>
  <c r="B14" i="12" s="1"/>
  <c r="K33" i="3"/>
  <c r="L33" i="3"/>
  <c r="K34" i="3"/>
  <c r="L34" i="3"/>
  <c r="A14" i="12"/>
  <c r="F13" i="12"/>
  <c r="F12" i="12"/>
  <c r="G12" i="12"/>
  <c r="I14" i="12"/>
  <c r="H14" i="12"/>
  <c r="E14" i="12"/>
  <c r="G13" i="12"/>
  <c r="L6" i="14"/>
  <c r="C14" i="12"/>
  <c r="I18" i="8" l="1"/>
  <c r="I19" i="8"/>
  <c r="I16" i="8"/>
  <c r="I17" i="8"/>
  <c r="L10" i="8"/>
  <c r="F10" i="8"/>
  <c r="F19" i="14"/>
  <c r="G19" i="14"/>
  <c r="D19" i="14"/>
  <c r="E16" i="12" s="1"/>
  <c r="E19" i="14"/>
  <c r="B19" i="14"/>
  <c r="D16" i="12" s="1"/>
  <c r="J12" i="14"/>
  <c r="AC98" i="14"/>
  <c r="AE97" i="14"/>
  <c r="Z97" i="14"/>
  <c r="Y97" i="14"/>
  <c r="AE96" i="14"/>
  <c r="Z96" i="14"/>
  <c r="Y96" i="14"/>
  <c r="AE95" i="14"/>
  <c r="Z95" i="14"/>
  <c r="Y95" i="14"/>
  <c r="AE94" i="14"/>
  <c r="Z94" i="14"/>
  <c r="Y94" i="14"/>
  <c r="AE93" i="14"/>
  <c r="Z93" i="14"/>
  <c r="Y93" i="14"/>
  <c r="AE92" i="14"/>
  <c r="Z92" i="14"/>
  <c r="Y92" i="14"/>
  <c r="AE91" i="14"/>
  <c r="Z91" i="14"/>
  <c r="Y91" i="14"/>
  <c r="Y89" i="14"/>
  <c r="AE86" i="14"/>
  <c r="B9" i="14"/>
  <c r="L17" i="14" s="1"/>
  <c r="G11" i="12"/>
  <c r="H10" i="13"/>
  <c r="H11" i="13"/>
  <c r="H12" i="13"/>
  <c r="H13" i="13"/>
  <c r="H14" i="13"/>
  <c r="H15" i="13"/>
  <c r="H9" i="13"/>
  <c r="N57" i="3"/>
  <c r="M57" i="3"/>
  <c r="N14" i="3"/>
  <c r="H53" i="3"/>
  <c r="H48" i="3"/>
  <c r="H49" i="3"/>
  <c r="H45" i="3" s="1"/>
  <c r="H50" i="3"/>
  <c r="H47" i="3"/>
  <c r="H42" i="3"/>
  <c r="H43" i="3"/>
  <c r="H44" i="3"/>
  <c r="H41" i="3"/>
  <c r="G33" i="3"/>
  <c r="L41" i="3"/>
  <c r="L42" i="3"/>
  <c r="L43" i="3"/>
  <c r="L44" i="3"/>
  <c r="L47" i="3"/>
  <c r="L48" i="3"/>
  <c r="L49" i="3"/>
  <c r="L50" i="3"/>
  <c r="L53" i="3"/>
  <c r="L55" i="3"/>
  <c r="L56" i="3"/>
  <c r="K56" i="3"/>
  <c r="K55" i="3"/>
  <c r="K53" i="3"/>
  <c r="K54" i="3"/>
  <c r="L54" i="3"/>
  <c r="H56" i="3"/>
  <c r="G56" i="3"/>
  <c r="H55" i="3"/>
  <c r="G55" i="3"/>
  <c r="H54" i="3"/>
  <c r="G54" i="3"/>
  <c r="G53" i="3"/>
  <c r="J51" i="3"/>
  <c r="I51" i="3"/>
  <c r="F51" i="3"/>
  <c r="E51" i="3"/>
  <c r="D51" i="3"/>
  <c r="K50" i="3"/>
  <c r="G50" i="3"/>
  <c r="K49" i="3"/>
  <c r="G49" i="3"/>
  <c r="K48" i="3"/>
  <c r="G48" i="3"/>
  <c r="K47" i="3"/>
  <c r="G47" i="3"/>
  <c r="J45" i="3"/>
  <c r="I45" i="3"/>
  <c r="F45" i="3"/>
  <c r="E45" i="3"/>
  <c r="D45" i="3"/>
  <c r="K44" i="3"/>
  <c r="G44" i="3"/>
  <c r="K43" i="3"/>
  <c r="G43" i="3"/>
  <c r="K42" i="3"/>
  <c r="G42" i="3"/>
  <c r="K41" i="3"/>
  <c r="G41" i="3"/>
  <c r="J39" i="3"/>
  <c r="I39" i="3"/>
  <c r="F39" i="3"/>
  <c r="E39" i="3"/>
  <c r="D39" i="3"/>
  <c r="K19" i="3"/>
  <c r="E8" i="3"/>
  <c r="F8" i="3"/>
  <c r="H8" i="3"/>
  <c r="I8" i="3"/>
  <c r="J8" i="3"/>
  <c r="K8" i="3"/>
  <c r="L8" i="3"/>
  <c r="E2" i="3"/>
  <c r="F2" i="3"/>
  <c r="H2" i="3"/>
  <c r="H14" i="3" s="1"/>
  <c r="I2" i="3"/>
  <c r="J2" i="3"/>
  <c r="K2" i="3"/>
  <c r="L2" i="3"/>
  <c r="D8" i="3"/>
  <c r="D2" i="3"/>
  <c r="E29" i="3"/>
  <c r="F29" i="3"/>
  <c r="I29" i="3"/>
  <c r="J29" i="3"/>
  <c r="E23" i="3"/>
  <c r="F23" i="3"/>
  <c r="H23" i="3"/>
  <c r="I23" i="3"/>
  <c r="J23" i="3"/>
  <c r="L23" i="3"/>
  <c r="I17" i="3"/>
  <c r="J17" i="3"/>
  <c r="L17" i="3"/>
  <c r="E17" i="3"/>
  <c r="F17" i="3"/>
  <c r="H17" i="3"/>
  <c r="D29" i="3"/>
  <c r="D23" i="3"/>
  <c r="D17" i="3"/>
  <c r="G10" i="12"/>
  <c r="F10" i="12"/>
  <c r="F9" i="12"/>
  <c r="L32" i="3"/>
  <c r="L29" i="3" s="1"/>
  <c r="N35" i="3" s="1"/>
  <c r="K8" i="12" s="1"/>
  <c r="K32" i="3"/>
  <c r="G34" i="3"/>
  <c r="H33" i="3"/>
  <c r="H32" i="3"/>
  <c r="H34" i="3"/>
  <c r="G32" i="3"/>
  <c r="G31" i="3"/>
  <c r="K31" i="3"/>
  <c r="B14" i="8"/>
  <c r="L13" i="14" s="1" a="1"/>
  <c r="L13" i="14" s="1"/>
  <c r="L18" i="14" s="1"/>
  <c r="L15" i="14" s="1"/>
  <c r="L16" i="8"/>
  <c r="G28" i="3"/>
  <c r="K27" i="3"/>
  <c r="K28" i="3"/>
  <c r="K26" i="3"/>
  <c r="K25" i="3"/>
  <c r="G27" i="3"/>
  <c r="G25" i="3"/>
  <c r="G26" i="3"/>
  <c r="G21" i="3"/>
  <c r="G22" i="3"/>
  <c r="K22" i="3"/>
  <c r="K21" i="3"/>
  <c r="K20" i="3"/>
  <c r="G20" i="3"/>
  <c r="G19" i="3"/>
  <c r="G13" i="3"/>
  <c r="G12" i="3"/>
  <c r="G11" i="3"/>
  <c r="G10" i="3"/>
  <c r="G7" i="3"/>
  <c r="G6" i="3"/>
  <c r="G5" i="3"/>
  <c r="G4" i="3"/>
  <c r="M2" i="10" l="1"/>
  <c r="M2" i="14"/>
  <c r="I16" i="12"/>
  <c r="F20" i="14"/>
  <c r="M2" i="12"/>
  <c r="M2" i="13"/>
  <c r="H16" i="12"/>
  <c r="K9" i="12"/>
  <c r="K10" i="12" s="1"/>
  <c r="K14" i="12"/>
  <c r="I11" i="14" s="1"/>
  <c r="I12" i="14" s="1"/>
  <c r="R12" i="10" s="1"/>
  <c r="F11" i="12"/>
  <c r="D14" i="12"/>
  <c r="D20" i="14"/>
  <c r="B20" i="14"/>
  <c r="AA92" i="14"/>
  <c r="AA93" i="14"/>
  <c r="AA97" i="14"/>
  <c r="J13" i="14"/>
  <c r="Z98" i="14"/>
  <c r="AA94" i="14"/>
  <c r="AA95" i="14"/>
  <c r="AA96" i="14"/>
  <c r="Y98" i="14"/>
  <c r="AD98" i="14" s="1"/>
  <c r="AA91" i="14"/>
  <c r="G14" i="12"/>
  <c r="F14" i="12"/>
  <c r="I8" i="13"/>
  <c r="H22" i="14" s="1"/>
  <c r="A21" i="14" s="1"/>
  <c r="K11" i="12"/>
  <c r="I36" i="3"/>
  <c r="F36" i="3"/>
  <c r="D58" i="3"/>
  <c r="J58" i="3"/>
  <c r="G39" i="3"/>
  <c r="H51" i="3"/>
  <c r="G17" i="3"/>
  <c r="G23" i="3"/>
  <c r="E58" i="3"/>
  <c r="H39" i="3"/>
  <c r="H58" i="3" s="1"/>
  <c r="G14" i="3"/>
  <c r="E36" i="3"/>
  <c r="F58" i="3"/>
  <c r="G45" i="3"/>
  <c r="L45" i="3"/>
  <c r="L39" i="3"/>
  <c r="N39" i="3" s="1"/>
  <c r="I58" i="3"/>
  <c r="G51" i="3"/>
  <c r="N17" i="3"/>
  <c r="N23" i="3" s="1"/>
  <c r="N29" i="3" s="1"/>
  <c r="G29" i="3"/>
  <c r="K39" i="3"/>
  <c r="K45" i="3"/>
  <c r="L51" i="3"/>
  <c r="K51" i="3"/>
  <c r="L36" i="3"/>
  <c r="J36" i="3"/>
  <c r="J14" i="3"/>
  <c r="E14" i="3"/>
  <c r="D36" i="3"/>
  <c r="L14" i="3"/>
  <c r="F14" i="3"/>
  <c r="D14" i="3"/>
  <c r="G8" i="3"/>
  <c r="K17" i="3"/>
  <c r="K23" i="3"/>
  <c r="H29" i="3"/>
  <c r="H36" i="3" s="1"/>
  <c r="K29" i="3"/>
  <c r="M35" i="3" s="1"/>
  <c r="J8" i="12" s="1"/>
  <c r="I14" i="3"/>
  <c r="G2" i="3"/>
  <c r="E12" i="8" a="1"/>
  <c r="E12" i="8" s="1"/>
  <c r="K20" i="8"/>
  <c r="K19" i="8"/>
  <c r="K18" i="8"/>
  <c r="K17" i="8"/>
  <c r="J14" i="14" l="1"/>
  <c r="J15" i="14" s="1"/>
  <c r="J9" i="12"/>
  <c r="J14" i="12"/>
  <c r="L9" i="12"/>
  <c r="AA98" i="14"/>
  <c r="J16" i="14"/>
  <c r="K12" i="12"/>
  <c r="M17" i="3"/>
  <c r="G58" i="3"/>
  <c r="G36" i="3"/>
  <c r="L58" i="3"/>
  <c r="N45" i="3"/>
  <c r="N51" i="3" s="1"/>
  <c r="K58" i="3"/>
  <c r="M39" i="3"/>
  <c r="M45" i="3" s="1"/>
  <c r="M51" i="3" s="1"/>
  <c r="M23" i="3"/>
  <c r="M29" i="3" s="1"/>
  <c r="K36" i="3"/>
  <c r="K2" i="8"/>
  <c r="K16" i="8"/>
  <c r="J8" i="13" l="1"/>
  <c r="J9" i="13" s="1"/>
  <c r="J10" i="13" s="1"/>
  <c r="H11" i="14"/>
  <c r="J10" i="12"/>
  <c r="L10" i="12" s="1"/>
  <c r="K13" i="12"/>
  <c r="M11" i="14"/>
  <c r="J17" i="14"/>
  <c r="J11" i="13" l="1"/>
  <c r="J12" i="13" s="1"/>
  <c r="J13" i="13" s="1"/>
  <c r="J14" i="13" s="1"/>
  <c r="J15" i="13" s="1"/>
  <c r="K11" i="14"/>
  <c r="H12" i="14"/>
  <c r="K12" i="14" s="1"/>
  <c r="J11" i="12"/>
  <c r="L11" i="12"/>
  <c r="M12" i="14"/>
  <c r="I13" i="14"/>
  <c r="R13" i="10" s="1"/>
  <c r="H13" i="14"/>
  <c r="K13" i="14" s="1"/>
  <c r="J18" i="14"/>
  <c r="J12" i="12" l="1"/>
  <c r="L12" i="12"/>
  <c r="M13" i="14"/>
  <c r="I14" i="14"/>
  <c r="R14" i="10" s="1"/>
  <c r="H14" i="14"/>
  <c r="J19" i="14"/>
  <c r="J13" i="12" l="1"/>
  <c r="L13" i="12"/>
  <c r="K14" i="14"/>
  <c r="M14" i="14"/>
  <c r="I15" i="14"/>
  <c r="H15" i="14"/>
  <c r="K15" i="14" s="1"/>
  <c r="J12" i="10" l="1"/>
  <c r="R15" i="10"/>
  <c r="M15" i="14"/>
  <c r="I16" i="14"/>
  <c r="H16" i="14"/>
  <c r="J13" i="10" l="1"/>
  <c r="R16" i="10"/>
  <c r="K16" i="14"/>
  <c r="M16" i="14"/>
  <c r="I17" i="14"/>
  <c r="H17" i="14"/>
  <c r="J14" i="10" l="1"/>
  <c r="R17" i="10"/>
  <c r="K17" i="14"/>
  <c r="M17" i="14"/>
  <c r="I18" i="14"/>
  <c r="R18" i="10" s="1"/>
  <c r="H18" i="14"/>
  <c r="H19" i="14" s="1"/>
  <c r="J15" i="10" l="1"/>
  <c r="I19" i="14"/>
  <c r="M18" i="14"/>
  <c r="K18" i="14"/>
  <c r="K19" i="14" s="1"/>
  <c r="R5" i="8" s="1"/>
  <c r="J16" i="10" l="1"/>
  <c r="R19" i="10"/>
  <c r="S5" i="8"/>
  <c r="D6" i="14" l="1"/>
  <c r="G6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<sst xmlns="http://schemas.openxmlformats.org/spreadsheetml/2006/main" count="312" uniqueCount="211">
  <si>
    <t>Sistema Integral Financiero Tulipan - (SIFT)</t>
  </si>
  <si>
    <t xml:space="preserve">Version </t>
  </si>
  <si>
    <t>9 - 1720</t>
  </si>
  <si>
    <t>Coins</t>
  </si>
  <si>
    <t>Previous Production</t>
  </si>
  <si>
    <t>PRU</t>
  </si>
  <si>
    <t>Productive Days</t>
  </si>
  <si>
    <t>PDP</t>
  </si>
  <si>
    <t xml:space="preserve">Inicio: </t>
  </si>
  <si>
    <t>&lt;-- MON</t>
  </si>
  <si>
    <t>modif</t>
  </si>
  <si>
    <t xml:space="preserve">Pesos </t>
  </si>
  <si>
    <t xml:space="preserve">Dollars </t>
  </si>
  <si>
    <t>Assets</t>
  </si>
  <si>
    <t>Total</t>
  </si>
  <si>
    <t xml:space="preserve">Final: </t>
  </si>
  <si>
    <t>&lt;-- SUN</t>
  </si>
  <si>
    <t>form</t>
  </si>
  <si>
    <t>Egresos</t>
  </si>
  <si>
    <t>PESOS</t>
  </si>
  <si>
    <t>DOLLARS</t>
  </si>
  <si>
    <t>ASSETS</t>
  </si>
  <si>
    <t>Day</t>
  </si>
  <si>
    <t>+</t>
  </si>
  <si>
    <t>-</t>
  </si>
  <si>
    <t>Friday</t>
  </si>
  <si>
    <t>%</t>
  </si>
  <si>
    <t>Saturday</t>
  </si>
  <si>
    <t>Sunday</t>
  </si>
  <si>
    <t>N</t>
  </si>
  <si>
    <t>Monday</t>
  </si>
  <si>
    <t>Tuesday</t>
  </si>
  <si>
    <t>Increment</t>
  </si>
  <si>
    <t>Wednesday</t>
  </si>
  <si>
    <t>Thursday</t>
  </si>
  <si>
    <t xml:space="preserve">  </t>
  </si>
  <si>
    <t>Presupuesto</t>
  </si>
  <si>
    <t>legada</t>
  </si>
  <si>
    <t>old memories</t>
  </si>
  <si>
    <t>Producción Anterior</t>
  </si>
  <si>
    <t>Días Productivos</t>
  </si>
  <si>
    <t xml:space="preserve">PDP </t>
  </si>
  <si>
    <t>Reserva Anterior</t>
  </si>
  <si>
    <t xml:space="preserve">Día </t>
  </si>
  <si>
    <t xml:space="preserve">Ingresos </t>
  </si>
  <si>
    <t xml:space="preserve">Egresos </t>
  </si>
  <si>
    <t>Impuesto</t>
  </si>
  <si>
    <t>Capitales B.</t>
  </si>
  <si>
    <t>Puntaje</t>
  </si>
  <si>
    <t>Efectivo</t>
  </si>
  <si>
    <t>Tesoro Total</t>
  </si>
  <si>
    <t xml:space="preserve">Lunes </t>
  </si>
  <si>
    <t>Martes</t>
  </si>
  <si>
    <t xml:space="preserve">Miercoles </t>
  </si>
  <si>
    <t xml:space="preserve">Jueves </t>
  </si>
  <si>
    <t xml:space="preserve">Viernes </t>
  </si>
  <si>
    <t>Sábado</t>
  </si>
  <si>
    <t>Domingo</t>
  </si>
  <si>
    <t>Corte</t>
  </si>
  <si>
    <t>piezas</t>
  </si>
  <si>
    <t>Week</t>
  </si>
  <si>
    <t>Producto Semanal Unico</t>
  </si>
  <si>
    <t>Producto Diario Promedio</t>
  </si>
  <si>
    <t>Fecha Inicial</t>
  </si>
  <si>
    <t xml:space="preserve">Fecha Final </t>
  </si>
  <si>
    <t xml:space="preserve">Días Abarcados </t>
  </si>
  <si>
    <t xml:space="preserve">Gasto total </t>
  </si>
  <si>
    <t>Before</t>
  </si>
  <si>
    <t>ING ESP</t>
  </si>
  <si>
    <t>comida</t>
  </si>
  <si>
    <t>Transporte</t>
  </si>
  <si>
    <t xml:space="preserve">Comida </t>
  </si>
  <si>
    <t>Extraordinario</t>
  </si>
  <si>
    <t>Desarrollos</t>
  </si>
  <si>
    <t>Pagos</t>
  </si>
  <si>
    <t>Suma</t>
  </si>
  <si>
    <t xml:space="preserve">chuletas </t>
  </si>
  <si>
    <t xml:space="preserve">huevo </t>
  </si>
  <si>
    <t>nopal</t>
  </si>
  <si>
    <t>tortilla</t>
  </si>
  <si>
    <t xml:space="preserve">leche </t>
  </si>
  <si>
    <t>galleta</t>
  </si>
  <si>
    <t>sopa</t>
  </si>
  <si>
    <t>Total por ambito</t>
  </si>
  <si>
    <t>Points</t>
  </si>
  <si>
    <t>History</t>
  </si>
  <si>
    <t>Recurso</t>
  </si>
  <si>
    <t>Risk</t>
  </si>
  <si>
    <t>Esp</t>
  </si>
  <si>
    <t>Life Sources</t>
  </si>
  <si>
    <t>Personal</t>
  </si>
  <si>
    <t>Academico</t>
  </si>
  <si>
    <t>Physic</t>
  </si>
  <si>
    <t>Emotional</t>
  </si>
  <si>
    <t>Social</t>
  </si>
  <si>
    <t>Finaniero</t>
  </si>
  <si>
    <t>Recreative</t>
  </si>
  <si>
    <t>Progress</t>
  </si>
  <si>
    <t xml:space="preserve">Degenerative </t>
  </si>
  <si>
    <t>bnh</t>
  </si>
  <si>
    <t xml:space="preserve">Mymt </t>
  </si>
  <si>
    <t xml:space="preserve">bnj </t>
  </si>
  <si>
    <t xml:space="preserve">Brrs </t>
  </si>
  <si>
    <t>MXN</t>
  </si>
  <si>
    <t xml:space="preserve">porcentaje </t>
  </si>
  <si>
    <t>DOLARES</t>
  </si>
  <si>
    <t>EQUIVALENCIA</t>
  </si>
  <si>
    <t xml:space="preserve">Retiros autorizados </t>
  </si>
  <si>
    <t>MONEDA</t>
  </si>
  <si>
    <t>Ahorro</t>
  </si>
  <si>
    <t>MONTO</t>
  </si>
  <si>
    <t>MOTIVO</t>
  </si>
  <si>
    <t>BILLETE</t>
  </si>
  <si>
    <t>reparaciones</t>
  </si>
  <si>
    <t>DÉBITOS</t>
  </si>
  <si>
    <t>7.29%</t>
  </si>
  <si>
    <t>extra financiamiento</t>
  </si>
  <si>
    <t>BNM</t>
  </si>
  <si>
    <t>EDR</t>
  </si>
  <si>
    <t>BBV</t>
  </si>
  <si>
    <t>SCT</t>
  </si>
  <si>
    <t>SPN</t>
  </si>
  <si>
    <t>USD</t>
  </si>
  <si>
    <t xml:space="preserve">Sumatoria </t>
  </si>
  <si>
    <t>pesos</t>
  </si>
  <si>
    <t>TOTAL</t>
  </si>
  <si>
    <t xml:space="preserve">nutella </t>
  </si>
  <si>
    <t>pan</t>
  </si>
  <si>
    <t>Periodo</t>
  </si>
  <si>
    <t>Proucto Mensual Total</t>
  </si>
  <si>
    <t>Crecimiento</t>
  </si>
  <si>
    <t>INITIAL PESOS</t>
  </si>
  <si>
    <t xml:space="preserve">INITIAL DOLLARS </t>
  </si>
  <si>
    <t>9       1720 version</t>
  </si>
  <si>
    <t>2023C2</t>
  </si>
  <si>
    <t>7 de Mayo</t>
  </si>
  <si>
    <t>3 de Junio</t>
  </si>
  <si>
    <t>Mayo 2023</t>
  </si>
  <si>
    <t>NO USD</t>
  </si>
  <si>
    <t xml:space="preserve">DESC. </t>
  </si>
  <si>
    <t xml:space="preserve">NA </t>
  </si>
  <si>
    <t>4 de Junio</t>
  </si>
  <si>
    <t>1 de Julio</t>
  </si>
  <si>
    <t>Junio 2023</t>
  </si>
  <si>
    <t>2 de Julio</t>
  </si>
  <si>
    <t>29 de Julio</t>
  </si>
  <si>
    <t>Julio 2023</t>
  </si>
  <si>
    <t>30 de Julio</t>
  </si>
  <si>
    <t xml:space="preserve">2 de Septiembre </t>
  </si>
  <si>
    <t>Agosto 2023</t>
  </si>
  <si>
    <t>2023C3</t>
  </si>
  <si>
    <t xml:space="preserve">3 de Septiembre </t>
  </si>
  <si>
    <t xml:space="preserve">30 de Septiembre </t>
  </si>
  <si>
    <t>Septiembre 2023</t>
  </si>
  <si>
    <t xml:space="preserve">1 de Octubre </t>
  </si>
  <si>
    <t xml:space="preserve">4 de Noviembre </t>
  </si>
  <si>
    <t>Octubre 2023</t>
  </si>
  <si>
    <t xml:space="preserve">5 de Noviembre </t>
  </si>
  <si>
    <t xml:space="preserve">3 de Diciembre </t>
  </si>
  <si>
    <t>Noviembre 2023</t>
  </si>
  <si>
    <t xml:space="preserve">4 de Diciembre </t>
  </si>
  <si>
    <t xml:space="preserve">31 de Diciembre </t>
  </si>
  <si>
    <t>Diciembre 2023</t>
  </si>
  <si>
    <t xml:space="preserve"> 7 de Mayo</t>
  </si>
  <si>
    <t xml:space="preserve">2024C1 </t>
  </si>
  <si>
    <t>1 de Enero</t>
  </si>
  <si>
    <t xml:space="preserve">28 de Enero </t>
  </si>
  <si>
    <t>Enero 2024</t>
  </si>
  <si>
    <t xml:space="preserve">29 de Enero </t>
  </si>
  <si>
    <t xml:space="preserve">29 de Febrero </t>
  </si>
  <si>
    <t>Febrero 2024</t>
  </si>
  <si>
    <t>1 de Marzo</t>
  </si>
  <si>
    <t>31 de Marzo</t>
  </si>
  <si>
    <t>Marzo 2024</t>
  </si>
  <si>
    <t>1 de Abril</t>
  </si>
  <si>
    <t>28 de Abril</t>
  </si>
  <si>
    <t>Abril 2024</t>
  </si>
  <si>
    <t>2024C2</t>
  </si>
  <si>
    <t>29 de Abril</t>
  </si>
  <si>
    <t>2 de Junio</t>
  </si>
  <si>
    <t>Mayo 2024</t>
  </si>
  <si>
    <t>30 de Junio</t>
  </si>
  <si>
    <t>Junio 2024</t>
  </si>
  <si>
    <t>28 de Julio</t>
  </si>
  <si>
    <t>Julio 2024</t>
  </si>
  <si>
    <t>1 de Septiembre</t>
  </si>
  <si>
    <t>Agosto 2024</t>
  </si>
  <si>
    <t>2024C3</t>
  </si>
  <si>
    <t>Septiembre 2024</t>
  </si>
  <si>
    <t>27 de Octubre</t>
  </si>
  <si>
    <t>Octubre 2024</t>
  </si>
  <si>
    <t xml:space="preserve">28 de ocubre </t>
  </si>
  <si>
    <t xml:space="preserve">28 de Noviembre </t>
  </si>
  <si>
    <t>Noviembre 2024</t>
  </si>
  <si>
    <t>Diciembre 2024</t>
  </si>
  <si>
    <t xml:space="preserve"> 1 de Enero</t>
  </si>
  <si>
    <t xml:space="preserve">2025C1 </t>
  </si>
  <si>
    <t>Enero 2025</t>
  </si>
  <si>
    <t>Febrero 2025</t>
  </si>
  <si>
    <t>Marzo 2025</t>
  </si>
  <si>
    <t>Abril 2025</t>
  </si>
  <si>
    <t>2025C2</t>
  </si>
  <si>
    <t>Mayo 2025</t>
  </si>
  <si>
    <t>Junio 2025</t>
  </si>
  <si>
    <t>Julio 2025</t>
  </si>
  <si>
    <t>Agosto 2025</t>
  </si>
  <si>
    <t>2025C3</t>
  </si>
  <si>
    <t>Septiembre 2025</t>
  </si>
  <si>
    <t>Octubre 2025</t>
  </si>
  <si>
    <t>Noviembre 2025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</si>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</sst>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&quot;$&quot;#,##0.00"/>
    <numFmt numFmtId="168" formatCode="[$-F400]h:mm:ss\ AM/PM"/>
    <numFmt numFmtId="169" formatCode="0.0"/>
    <numFmt numFmtId="170" formatCode="_-[$$-409]* #,##0.00_ ;_-[$$-409]* \-#,##0.00\ ;_-[$$-409]* &quot;-&quot;??_ ;_-@_ "/>
    <numFmt numFmtId="171" formatCode="[$-F800]dddd\,\ mmmm\ dd\,\ yyyy"/>
    <numFmt numFmtId="172" formatCode="[$$-80A]#,##0.00"/>
    <numFmt numFmtId="173" formatCode="_-[$$-80A]* #,##0.00_-;\-[$$-80A]* #,##0.00_-;_-[$$-80A]* &quot;-&quot;??_-;_-@_-"/>
  </numFmts>
  <fonts count="58">
    <font>
      <sz val="11"/>
      <color theme="1"/>
      <name val="Calibri"/>
      <scheme val="minor"/>
    </font>
    <font>
      <sz val="9"/>
      <color theme="0"/>
      <name val="Consolas"/>
    </font>
    <font>
      <sz val="8"/>
      <color theme="0"/>
      <name val="Courier New"/>
      <family val="3"/>
    </font>
    <font>
      <sz val="8"/>
      <color rgb="FF00B050"/>
      <name val="Courier New"/>
      <family val="3"/>
    </font>
    <font>
      <sz val="8"/>
      <color rgb="FFCC00CC"/>
      <name val="Courier New"/>
      <family val="3"/>
    </font>
    <font>
      <sz val="8"/>
      <color rgb="FF00B0F0"/>
      <name val="Courier New"/>
      <family val="3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8"/>
      <color theme="1"/>
      <name val="Courier New"/>
      <family val="3"/>
    </font>
    <font>
      <sz val="8"/>
      <color rgb="FFFF0000"/>
      <name val="Courier New"/>
      <family val="3"/>
    </font>
    <font>
      <u/>
      <sz val="8"/>
      <color theme="0"/>
      <name val="Courier New"/>
      <family val="3"/>
    </font>
    <font>
      <u/>
      <sz val="8"/>
      <color rgb="FF00B050"/>
      <name val="Courier New"/>
      <family val="3"/>
    </font>
    <font>
      <sz val="8"/>
      <color rgb="FFC00000"/>
      <name val="Courier New"/>
      <family val="3"/>
    </font>
    <font>
      <u/>
      <sz val="8"/>
      <color rgb="FFC00000"/>
      <name val="Courier New"/>
      <family val="3"/>
    </font>
    <font>
      <sz val="8"/>
      <color rgb="FF0033CC"/>
      <name val="Courier New"/>
      <family val="3"/>
    </font>
    <font>
      <u/>
      <sz val="8"/>
      <color rgb="FFFFFF00"/>
      <name val="Courier New"/>
      <family val="3"/>
    </font>
    <font>
      <sz val="8"/>
      <name val="Calibri"/>
      <family val="2"/>
      <scheme val="minor"/>
    </font>
    <font>
      <sz val="8"/>
      <color rgb="FFFFC000"/>
      <name val="Courier New"/>
      <family val="3"/>
    </font>
    <font>
      <sz val="8"/>
      <color theme="2" tint="-0.34998626667073579"/>
      <name val="Courier New"/>
      <family val="3"/>
    </font>
    <font>
      <sz val="8"/>
      <color rgb="FFFFFF00"/>
      <name val="Courier New"/>
      <family val="3"/>
    </font>
    <font>
      <u/>
      <sz val="8"/>
      <color rgb="FFFF0000"/>
      <name val="Courier New"/>
      <family val="3"/>
    </font>
    <font>
      <u/>
      <sz val="8"/>
      <color rgb="FF00B0F0"/>
      <name val="Courier New"/>
      <family val="3"/>
    </font>
    <font>
      <sz val="8"/>
      <color rgb="FFFFFFFF"/>
      <name val="Courier New"/>
      <family val="3"/>
    </font>
    <font>
      <sz val="8"/>
      <color theme="5"/>
      <name val="Courier New"/>
      <family val="3"/>
    </font>
    <font>
      <sz val="8"/>
      <color theme="7"/>
      <name val="Courier New"/>
      <family val="3"/>
    </font>
    <font>
      <u/>
      <sz val="8"/>
      <color rgb="FFFFFFFF"/>
      <name val="Courier New"/>
      <family val="3"/>
    </font>
    <font>
      <u/>
      <sz val="10"/>
      <color rgb="FFFFFF00"/>
      <name val="Courier New"/>
      <family val="3"/>
    </font>
    <font>
      <sz val="10"/>
      <color rgb="FFFFFF00"/>
      <name val="Courier New"/>
      <family val="3"/>
    </font>
    <font>
      <sz val="8"/>
      <color theme="5" tint="-0.249977111117893"/>
      <name val="Courier New"/>
      <family val="3"/>
    </font>
    <font>
      <sz val="8"/>
      <color rgb="FF92D050"/>
      <name val="Courier New"/>
      <family val="3"/>
    </font>
    <font>
      <sz val="8"/>
      <color theme="2" tint="-0.249977111117893"/>
      <name val="Courier New"/>
      <family val="3"/>
    </font>
    <font>
      <sz val="9"/>
      <color theme="0"/>
      <name val="Courier New"/>
      <family val="3"/>
    </font>
    <font>
      <i/>
      <sz val="8"/>
      <color theme="0"/>
      <name val="Courier New"/>
      <family val="3"/>
    </font>
    <font>
      <sz val="8"/>
      <color theme="1" tint="0.249977111117893"/>
      <name val="Courier New"/>
      <family val="3"/>
    </font>
    <font>
      <b/>
      <u/>
      <sz val="8"/>
      <color rgb="FFC00000"/>
      <name val="Courier New"/>
      <family val="3"/>
    </font>
    <font>
      <u/>
      <sz val="8"/>
      <color theme="1"/>
      <name val="Courier New"/>
      <family val="3"/>
    </font>
    <font>
      <b/>
      <sz val="8"/>
      <color rgb="FF00B050"/>
      <name val="Courier New"/>
      <family val="3"/>
    </font>
    <font>
      <sz val="11"/>
      <color theme="0"/>
      <name val="Calibri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  <font>
      <sz val="8"/>
      <color rgb="FFED7D31"/>
      <name val="Courier New"/>
      <family val="3"/>
    </font>
    <font>
      <b/>
      <sz val="8"/>
      <color theme="0"/>
      <name val="Courier New"/>
      <family val="3"/>
    </font>
    <font>
      <u/>
      <sz val="11"/>
      <color theme="0"/>
      <name val="Calibri"/>
      <scheme val="minor"/>
    </font>
    <font>
      <sz val="8"/>
      <color rgb="FF0A9E1C"/>
      <name val="Courier New"/>
      <family val="3"/>
    </font>
    <font>
      <sz val="8"/>
      <color theme="7" tint="-0.249977111117893"/>
      <name val="Courier New"/>
      <family val="3"/>
    </font>
    <font>
      <sz val="10"/>
      <color theme="0"/>
      <name val="Courier New"/>
      <family val="3"/>
    </font>
    <font>
      <sz val="8"/>
      <color rgb="FF3690FF"/>
      <name val="Courier New"/>
      <family val="3"/>
    </font>
    <font>
      <b/>
      <i/>
      <sz val="8"/>
      <color rgb="FF3690FF"/>
      <name val="Courier New"/>
      <family val="3"/>
    </font>
    <font>
      <sz val="9"/>
      <color rgb="FF3690FF"/>
      <name val="Courier New"/>
      <family val="3"/>
    </font>
    <font>
      <u/>
      <sz val="8"/>
      <color rgb="FF3690FF"/>
      <name val="Courier New"/>
      <family val="3"/>
    </font>
    <font>
      <u/>
      <sz val="10"/>
      <color theme="0"/>
      <name val="Courier New"/>
      <family val="3"/>
    </font>
    <font>
      <b/>
      <sz val="10"/>
      <color theme="0"/>
      <name val="Courier New"/>
      <family val="3"/>
    </font>
    <font>
      <b/>
      <sz val="11"/>
      <color theme="0"/>
      <name val="Calibri"/>
      <family val="2"/>
      <scheme val="minor"/>
    </font>
    <font>
      <b/>
      <i/>
      <sz val="10"/>
      <color theme="0"/>
      <name val="Courier New"/>
      <family val="3"/>
    </font>
    <font>
      <b/>
      <i/>
      <sz val="11"/>
      <color theme="0"/>
      <name val="Calibri"/>
      <scheme val="minor"/>
    </font>
    <font>
      <b/>
      <i/>
      <sz val="11"/>
      <color theme="0"/>
      <name val="Calibri"/>
      <family val="2"/>
      <scheme val="minor"/>
    </font>
    <font>
      <b/>
      <i/>
      <sz val="8"/>
      <color theme="0"/>
      <name val="Courier New"/>
      <family val="3"/>
    </font>
    <font>
      <b/>
      <i/>
      <sz val="8"/>
      <color rgb="FF00B050"/>
      <name val="Courier New"/>
      <family val="3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360000"/>
        <bgColor indexed="64"/>
      </patternFill>
    </fill>
    <fill>
      <patternFill patternType="solid">
        <fgColor rgb="FF003D09"/>
        <bgColor indexed="64"/>
      </patternFill>
    </fill>
    <fill>
      <patternFill patternType="solid">
        <fgColor theme="1"/>
        <bgColor rgb="FF00B050"/>
      </patternFill>
    </fill>
    <fill>
      <patternFill patternType="solid">
        <fgColor theme="1"/>
        <bgColor rgb="FFA7C4FF"/>
      </patternFill>
    </fill>
    <fill>
      <patternFill patternType="solid">
        <fgColor theme="1"/>
        <bgColor rgb="FFFFAFAF"/>
      </patternFill>
    </fill>
    <fill>
      <patternFill patternType="solid">
        <fgColor theme="1"/>
        <bgColor rgb="FFFFEDB3"/>
      </patternFill>
    </fill>
    <fill>
      <patternFill patternType="solid">
        <fgColor theme="1" tint="0.14999847407452621"/>
        <bgColor rgb="FFFFC000"/>
      </patternFill>
    </fill>
    <fill>
      <patternFill patternType="solid">
        <fgColor theme="1" tint="0.14999847407452621"/>
        <bgColor rgb="FF002060"/>
      </patternFill>
    </fill>
    <fill>
      <patternFill patternType="solid">
        <fgColor theme="1" tint="0.14999847407452621"/>
        <bgColor rgb="FFC00000"/>
      </patternFill>
    </fill>
    <fill>
      <patternFill patternType="solid">
        <fgColor theme="1" tint="0.249977111117893"/>
        <bgColor theme="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rgb="FF000000"/>
      </right>
      <top/>
      <bottom style="thin">
        <color theme="0" tint="-4.9989318521683403E-2"/>
      </bottom>
      <diagonal/>
    </border>
    <border>
      <left/>
      <right style="thin">
        <color rgb="FF000000"/>
      </right>
      <top/>
      <bottom style="thin">
        <color theme="0" tint="-4.9989318521683403E-2"/>
      </bottom>
      <diagonal/>
    </border>
    <border>
      <left style="thin">
        <color rgb="FF000000"/>
      </left>
      <right/>
      <top/>
      <bottom style="thin">
        <color theme="0" tint="-4.9989318521683403E-2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4.9989318521683403E-2"/>
      </bottom>
      <diagonal/>
    </border>
    <border>
      <left style="thin">
        <color rgb="FF000000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0"/>
      </left>
      <right/>
      <top/>
      <bottom style="thin">
        <color theme="0" tint="-4.9989318521683403E-2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thin">
        <color rgb="FF00B050"/>
      </left>
      <right style="thin">
        <color rgb="FF00B050"/>
      </right>
      <top style="thin">
        <color theme="0"/>
      </top>
      <bottom/>
      <diagonal/>
    </border>
  </borders>
  <cellStyleXfs count="3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48">
    <xf numFmtId="0" fontId="0" fillId="0" borderId="0" xfId="0"/>
    <xf numFmtId="0" fontId="1" fillId="2" borderId="25" xfId="0" applyFont="1" applyFill="1" applyBorder="1"/>
    <xf numFmtId="0" fontId="1" fillId="2" borderId="0" xfId="0" applyFont="1" applyFill="1"/>
    <xf numFmtId="4" fontId="1" fillId="2" borderId="0" xfId="0" applyNumberFormat="1" applyFont="1" applyFill="1"/>
    <xf numFmtId="0" fontId="8" fillId="3" borderId="0" xfId="0" applyFont="1" applyFill="1"/>
    <xf numFmtId="173" fontId="2" fillId="3" borderId="0" xfId="1" applyNumberFormat="1" applyFont="1" applyFill="1" applyAlignment="1">
      <alignment horizontal="left"/>
    </xf>
    <xf numFmtId="0" fontId="3" fillId="3" borderId="25" xfId="0" applyFont="1" applyFill="1" applyBorder="1" applyAlignment="1">
      <alignment horizontal="right"/>
    </xf>
    <xf numFmtId="0" fontId="9" fillId="3" borderId="25" xfId="0" applyFont="1" applyFill="1" applyBorder="1" applyAlignment="1">
      <alignment horizontal="right"/>
    </xf>
    <xf numFmtId="0" fontId="2" fillId="3" borderId="0" xfId="0" applyFont="1" applyFill="1"/>
    <xf numFmtId="0" fontId="2" fillId="3" borderId="25" xfId="0" applyFont="1" applyFill="1" applyBorder="1"/>
    <xf numFmtId="170" fontId="2" fillId="3" borderId="0" xfId="0" applyNumberFormat="1" applyFont="1" applyFill="1"/>
    <xf numFmtId="0" fontId="3" fillId="3" borderId="21" xfId="0" applyFont="1" applyFill="1" applyBorder="1"/>
    <xf numFmtId="14" fontId="3" fillId="3" borderId="25" xfId="0" applyNumberFormat="1" applyFont="1" applyFill="1" applyBorder="1" applyAlignment="1">
      <alignment horizontal="center"/>
    </xf>
    <xf numFmtId="0" fontId="8" fillId="3" borderId="25" xfId="0" applyFont="1" applyFill="1" applyBorder="1"/>
    <xf numFmtId="170" fontId="2" fillId="3" borderId="21" xfId="0" applyNumberFormat="1" applyFont="1" applyFill="1" applyBorder="1"/>
    <xf numFmtId="170" fontId="2" fillId="3" borderId="25" xfId="0" applyNumberFormat="1" applyFont="1" applyFill="1" applyBorder="1"/>
    <xf numFmtId="167" fontId="3" fillId="3" borderId="2" xfId="0" applyNumberFormat="1" applyFont="1" applyFill="1" applyBorder="1"/>
    <xf numFmtId="0" fontId="2" fillId="3" borderId="10" xfId="0" applyFont="1" applyFill="1" applyBorder="1"/>
    <xf numFmtId="0" fontId="2" fillId="3" borderId="17" xfId="0" applyFont="1" applyFill="1" applyBorder="1"/>
    <xf numFmtId="170" fontId="2" fillId="3" borderId="15" xfId="0" applyNumberFormat="1" applyFont="1" applyFill="1" applyBorder="1"/>
    <xf numFmtId="0" fontId="2" fillId="3" borderId="2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9" fontId="2" fillId="3" borderId="25" xfId="0" applyNumberFormat="1" applyFont="1" applyFill="1" applyBorder="1" applyAlignment="1">
      <alignment horizontal="center"/>
    </xf>
    <xf numFmtId="0" fontId="0" fillId="2" borderId="0" xfId="0" applyFill="1"/>
    <xf numFmtId="0" fontId="3" fillId="3" borderId="25" xfId="0" applyFont="1" applyFill="1" applyBorder="1" applyAlignment="1">
      <alignment horizontal="center" vertical="center"/>
    </xf>
    <xf numFmtId="171" fontId="15" fillId="4" borderId="25" xfId="0" applyNumberFormat="1" applyFont="1" applyFill="1" applyBorder="1" applyAlignment="1">
      <alignment horizontal="right" vertical="center" indent="6"/>
    </xf>
    <xf numFmtId="0" fontId="20" fillId="4" borderId="25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172" fontId="3" fillId="3" borderId="25" xfId="0" applyNumberFormat="1" applyFont="1" applyFill="1" applyBorder="1" applyAlignment="1">
      <alignment horizontal="center" vertical="center"/>
    </xf>
    <xf numFmtId="172" fontId="20" fillId="3" borderId="25" xfId="0" applyNumberFormat="1" applyFont="1" applyFill="1" applyBorder="1" applyAlignment="1">
      <alignment horizontal="center" vertical="center"/>
    </xf>
    <xf numFmtId="170" fontId="23" fillId="3" borderId="25" xfId="0" applyNumberFormat="1" applyFont="1" applyFill="1" applyBorder="1" applyAlignment="1">
      <alignment horizontal="center" vertical="center"/>
    </xf>
    <xf numFmtId="14" fontId="10" fillId="3" borderId="0" xfId="0" applyNumberFormat="1" applyFont="1" applyFill="1"/>
    <xf numFmtId="169" fontId="2" fillId="3" borderId="0" xfId="0" applyNumberFormat="1" applyFont="1" applyFill="1"/>
    <xf numFmtId="0" fontId="10" fillId="3" borderId="25" xfId="0" applyFont="1" applyFill="1" applyBorder="1"/>
    <xf numFmtId="0" fontId="10" fillId="3" borderId="0" xfId="0" applyFont="1" applyFill="1"/>
    <xf numFmtId="0" fontId="9" fillId="3" borderId="0" xfId="0" applyFont="1" applyFill="1"/>
    <xf numFmtId="0" fontId="8" fillId="2" borderId="0" xfId="0" applyFont="1" applyFill="1"/>
    <xf numFmtId="0" fontId="22" fillId="4" borderId="25" xfId="0" applyFont="1" applyFill="1" applyBorder="1"/>
    <xf numFmtId="14" fontId="5" fillId="4" borderId="27" xfId="0" applyNumberFormat="1" applyFont="1" applyFill="1" applyBorder="1"/>
    <xf numFmtId="0" fontId="22" fillId="4" borderId="8" xfId="0" applyFont="1" applyFill="1" applyBorder="1"/>
    <xf numFmtId="0" fontId="12" fillId="4" borderId="18" xfId="0" applyFont="1" applyFill="1" applyBorder="1"/>
    <xf numFmtId="14" fontId="5" fillId="4" borderId="8" xfId="0" applyNumberFormat="1" applyFont="1" applyFill="1" applyBorder="1"/>
    <xf numFmtId="3" fontId="22" fillId="4" borderId="25" xfId="0" applyNumberFormat="1" applyFont="1" applyFill="1" applyBorder="1"/>
    <xf numFmtId="14" fontId="5" fillId="4" borderId="24" xfId="0" applyNumberFormat="1" applyFont="1" applyFill="1" applyBorder="1"/>
    <xf numFmtId="0" fontId="19" fillId="4" borderId="16" xfId="0" applyFont="1" applyFill="1" applyBorder="1"/>
    <xf numFmtId="41" fontId="22" fillId="4" borderId="28" xfId="0" applyNumberFormat="1" applyFont="1" applyFill="1" applyBorder="1"/>
    <xf numFmtId="0" fontId="12" fillId="4" borderId="16" xfId="0" applyFont="1" applyFill="1" applyBorder="1"/>
    <xf numFmtId="41" fontId="25" fillId="4" borderId="29" xfId="0" applyNumberFormat="1" applyFont="1" applyFill="1" applyBorder="1"/>
    <xf numFmtId="0" fontId="14" fillId="4" borderId="16" xfId="0" applyFont="1" applyFill="1" applyBorder="1"/>
    <xf numFmtId="41" fontId="22" fillId="4" borderId="27" xfId="0" applyNumberFormat="1" applyFont="1" applyFill="1" applyBorder="1" applyAlignment="1">
      <alignment vertical="center"/>
    </xf>
    <xf numFmtId="14" fontId="5" fillId="4" borderId="28" xfId="0" applyNumberFormat="1" applyFont="1" applyFill="1" applyBorder="1"/>
    <xf numFmtId="0" fontId="14" fillId="4" borderId="20" xfId="0" applyFont="1" applyFill="1" applyBorder="1"/>
    <xf numFmtId="0" fontId="22" fillId="4" borderId="23" xfId="0" applyFont="1" applyFill="1" applyBorder="1" applyAlignment="1">
      <alignment horizontal="left" vertical="center"/>
    </xf>
    <xf numFmtId="0" fontId="22" fillId="4" borderId="25" xfId="0" applyFont="1" applyFill="1" applyBorder="1" applyAlignment="1">
      <alignment horizontal="left" vertical="center"/>
    </xf>
    <xf numFmtId="3" fontId="22" fillId="4" borderId="19" xfId="0" applyNumberFormat="1" applyFont="1" applyFill="1" applyBorder="1" applyAlignment="1">
      <alignment horizontal="left"/>
    </xf>
    <xf numFmtId="0" fontId="22" fillId="4" borderId="20" xfId="0" applyFont="1" applyFill="1" applyBorder="1"/>
    <xf numFmtId="0" fontId="22" fillId="4" borderId="23" xfId="0" applyFont="1" applyFill="1" applyBorder="1" applyAlignment="1">
      <alignment horizontal="left"/>
    </xf>
    <xf numFmtId="165" fontId="22" fillId="4" borderId="0" xfId="0" applyNumberFormat="1" applyFont="1" applyFill="1" applyAlignment="1">
      <alignment horizontal="center"/>
    </xf>
    <xf numFmtId="0" fontId="2" fillId="3" borderId="9" xfId="0" applyFont="1" applyFill="1" applyBorder="1"/>
    <xf numFmtId="0" fontId="5" fillId="3" borderId="30" xfId="0" applyFont="1" applyFill="1" applyBorder="1"/>
    <xf numFmtId="169" fontId="2" fillId="3" borderId="31" xfId="0" applyNumberFormat="1" applyFont="1" applyFill="1" applyBorder="1"/>
    <xf numFmtId="0" fontId="5" fillId="3" borderId="21" xfId="0" applyFont="1" applyFill="1" applyBorder="1"/>
    <xf numFmtId="169" fontId="2" fillId="3" borderId="15" xfId="0" applyNumberFormat="1" applyFont="1" applyFill="1" applyBorder="1"/>
    <xf numFmtId="0" fontId="28" fillId="3" borderId="21" xfId="0" applyFont="1" applyFill="1" applyBorder="1"/>
    <xf numFmtId="0" fontId="5" fillId="3" borderId="32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169" fontId="2" fillId="3" borderId="17" xfId="0" applyNumberFormat="1" applyFont="1" applyFill="1" applyBorder="1"/>
    <xf numFmtId="14" fontId="10" fillId="3" borderId="10" xfId="0" applyNumberFormat="1" applyFont="1" applyFill="1" applyBorder="1" applyAlignment="1">
      <alignment horizontal="center"/>
    </xf>
    <xf numFmtId="0" fontId="12" fillId="3" borderId="12" xfId="0" applyFont="1" applyFill="1" applyBorder="1"/>
    <xf numFmtId="14" fontId="13" fillId="3" borderId="13" xfId="0" applyNumberFormat="1" applyFont="1" applyFill="1" applyBorder="1" applyAlignment="1">
      <alignment horizontal="center"/>
    </xf>
    <xf numFmtId="14" fontId="10" fillId="3" borderId="17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1" fontId="2" fillId="3" borderId="13" xfId="0" applyNumberFormat="1" applyFont="1" applyFill="1" applyBorder="1" applyAlignment="1">
      <alignment horizontal="center" vertical="center"/>
    </xf>
    <xf numFmtId="167" fontId="2" fillId="3" borderId="13" xfId="0" applyNumberFormat="1" applyFont="1" applyFill="1" applyBorder="1"/>
    <xf numFmtId="0" fontId="14" fillId="3" borderId="13" xfId="0" applyFont="1" applyFill="1" applyBorder="1"/>
    <xf numFmtId="0" fontId="12" fillId="3" borderId="17" xfId="0" applyFont="1" applyFill="1" applyBorder="1"/>
    <xf numFmtId="0" fontId="18" fillId="3" borderId="2" xfId="0" applyFont="1" applyFill="1" applyBorder="1"/>
    <xf numFmtId="1" fontId="2" fillId="3" borderId="13" xfId="0" applyNumberFormat="1" applyFont="1" applyFill="1" applyBorder="1"/>
    <xf numFmtId="0" fontId="2" fillId="3" borderId="3" xfId="0" applyFont="1" applyFill="1" applyBorder="1"/>
    <xf numFmtId="1" fontId="2" fillId="3" borderId="9" xfId="0" applyNumberFormat="1" applyFont="1" applyFill="1" applyBorder="1" applyAlignment="1">
      <alignment horizontal="center"/>
    </xf>
    <xf numFmtId="0" fontId="29" fillId="3" borderId="21" xfId="0" applyFont="1" applyFill="1" applyBorder="1"/>
    <xf numFmtId="1" fontId="2" fillId="3" borderId="21" xfId="0" applyNumberFormat="1" applyFont="1" applyFill="1" applyBorder="1" applyAlignment="1">
      <alignment horizontal="center"/>
    </xf>
    <xf numFmtId="0" fontId="11" fillId="3" borderId="21" xfId="0" applyFont="1" applyFill="1" applyBorder="1"/>
    <xf numFmtId="1" fontId="10" fillId="3" borderId="21" xfId="0" applyNumberFormat="1" applyFont="1" applyFill="1" applyBorder="1" applyAlignment="1">
      <alignment horizontal="center"/>
    </xf>
    <xf numFmtId="0" fontId="17" fillId="3" borderId="21" xfId="0" applyFont="1" applyFill="1" applyBorder="1"/>
    <xf numFmtId="1" fontId="2" fillId="3" borderId="6" xfId="0" applyNumberFormat="1" applyFont="1" applyFill="1" applyBorder="1" applyAlignment="1">
      <alignment horizontal="center"/>
    </xf>
    <xf numFmtId="170" fontId="2" fillId="3" borderId="19" xfId="0" applyNumberFormat="1" applyFont="1" applyFill="1" applyBorder="1"/>
    <xf numFmtId="1" fontId="8" fillId="3" borderId="21" xfId="0" applyNumberFormat="1" applyFont="1" applyFill="1" applyBorder="1" applyAlignment="1">
      <alignment horizontal="center"/>
    </xf>
    <xf numFmtId="0" fontId="30" fillId="3" borderId="21" xfId="0" applyFont="1" applyFill="1" applyBorder="1"/>
    <xf numFmtId="0" fontId="3" fillId="3" borderId="12" xfId="0" applyFont="1" applyFill="1" applyBorder="1"/>
    <xf numFmtId="167" fontId="3" fillId="3" borderId="3" xfId="0" applyNumberFormat="1" applyFont="1" applyFill="1" applyBorder="1"/>
    <xf numFmtId="167" fontId="3" fillId="3" borderId="4" xfId="0" applyNumberFormat="1" applyFont="1" applyFill="1" applyBorder="1"/>
    <xf numFmtId="1" fontId="3" fillId="3" borderId="2" xfId="0" applyNumberFormat="1" applyFont="1" applyFill="1" applyBorder="1"/>
    <xf numFmtId="169" fontId="3" fillId="3" borderId="3" xfId="0" applyNumberFormat="1" applyFont="1" applyFill="1" applyBorder="1"/>
    <xf numFmtId="0" fontId="3" fillId="3" borderId="4" xfId="0" applyFont="1" applyFill="1" applyBorder="1"/>
    <xf numFmtId="14" fontId="5" fillId="4" borderId="23" xfId="0" applyNumberFormat="1" applyFont="1" applyFill="1" applyBorder="1"/>
    <xf numFmtId="14" fontId="5" fillId="4" borderId="25" xfId="0" applyNumberFormat="1" applyFont="1" applyFill="1" applyBorder="1"/>
    <xf numFmtId="14" fontId="5" fillId="4" borderId="19" xfId="0" applyNumberFormat="1" applyFont="1" applyFill="1" applyBorder="1"/>
    <xf numFmtId="0" fontId="0" fillId="2" borderId="25" xfId="0" applyFill="1" applyBorder="1"/>
    <xf numFmtId="169" fontId="2" fillId="3" borderId="25" xfId="0" applyNumberFormat="1" applyFont="1" applyFill="1" applyBorder="1"/>
    <xf numFmtId="0" fontId="8" fillId="2" borderId="25" xfId="0" applyFont="1" applyFill="1" applyBorder="1"/>
    <xf numFmtId="171" fontId="10" fillId="4" borderId="25" xfId="0" applyNumberFormat="1" applyFont="1" applyFill="1" applyBorder="1" applyAlignment="1">
      <alignment horizontal="center" vertical="center"/>
    </xf>
    <xf numFmtId="0" fontId="2" fillId="2" borderId="0" xfId="0" applyFont="1" applyFill="1"/>
    <xf numFmtId="14" fontId="2" fillId="3" borderId="0" xfId="0" applyNumberFormat="1" applyFont="1" applyFill="1"/>
    <xf numFmtId="0" fontId="24" fillId="2" borderId="25" xfId="0" applyFont="1" applyFill="1" applyBorder="1"/>
    <xf numFmtId="173" fontId="2" fillId="3" borderId="0" xfId="0" applyNumberFormat="1" applyFont="1" applyFill="1"/>
    <xf numFmtId="0" fontId="2" fillId="3" borderId="38" xfId="0" applyFont="1" applyFill="1" applyBorder="1"/>
    <xf numFmtId="0" fontId="2" fillId="5" borderId="45" xfId="0" applyFont="1" applyFill="1" applyBorder="1"/>
    <xf numFmtId="0" fontId="2" fillId="3" borderId="45" xfId="0" applyFont="1" applyFill="1" applyBorder="1"/>
    <xf numFmtId="0" fontId="3" fillId="3" borderId="37" xfId="0" applyFont="1" applyFill="1" applyBorder="1"/>
    <xf numFmtId="14" fontId="3" fillId="3" borderId="38" xfId="0" applyNumberFormat="1" applyFont="1" applyFill="1" applyBorder="1" applyAlignment="1">
      <alignment horizontal="center"/>
    </xf>
    <xf numFmtId="173" fontId="2" fillId="3" borderId="38" xfId="0" applyNumberFormat="1" applyFont="1" applyFill="1" applyBorder="1"/>
    <xf numFmtId="173" fontId="2" fillId="3" borderId="25" xfId="0" applyNumberFormat="1" applyFont="1" applyFill="1" applyBorder="1"/>
    <xf numFmtId="0" fontId="31" fillId="2" borderId="0" xfId="0" applyFont="1" applyFill="1"/>
    <xf numFmtId="167" fontId="31" fillId="2" borderId="33" xfId="0" applyNumberFormat="1" applyFont="1" applyFill="1" applyBorder="1"/>
    <xf numFmtId="167" fontId="31" fillId="2" borderId="34" xfId="0" applyNumberFormat="1" applyFont="1" applyFill="1" applyBorder="1"/>
    <xf numFmtId="167" fontId="31" fillId="2" borderId="16" xfId="0" applyNumberFormat="1" applyFont="1" applyFill="1" applyBorder="1"/>
    <xf numFmtId="167" fontId="31" fillId="2" borderId="13" xfId="0" applyNumberFormat="1" applyFont="1" applyFill="1" applyBorder="1"/>
    <xf numFmtId="14" fontId="31" fillId="2" borderId="22" xfId="0" applyNumberFormat="1" applyFont="1" applyFill="1" applyBorder="1"/>
    <xf numFmtId="0" fontId="33" fillId="3" borderId="36" xfId="0" applyFont="1" applyFill="1" applyBorder="1" applyAlignment="1">
      <alignment vertical="center"/>
    </xf>
    <xf numFmtId="49" fontId="2" fillId="8" borderId="16" xfId="0" applyNumberFormat="1" applyFont="1" applyFill="1" applyBorder="1" applyAlignment="1">
      <alignment horizontal="center"/>
    </xf>
    <xf numFmtId="49" fontId="2" fillId="8" borderId="24" xfId="0" applyNumberFormat="1" applyFont="1" applyFill="1" applyBorder="1" applyAlignment="1">
      <alignment horizontal="center"/>
    </xf>
    <xf numFmtId="1" fontId="2" fillId="8" borderId="24" xfId="0" applyNumberFormat="1" applyFont="1" applyFill="1" applyBorder="1" applyAlignment="1">
      <alignment horizontal="center"/>
    </xf>
    <xf numFmtId="167" fontId="2" fillId="8" borderId="11" xfId="0" applyNumberFormat="1" applyFont="1" applyFill="1" applyBorder="1"/>
    <xf numFmtId="167" fontId="2" fillId="8" borderId="16" xfId="0" applyNumberFormat="1" applyFont="1" applyFill="1" applyBorder="1"/>
    <xf numFmtId="0" fontId="2" fillId="9" borderId="11" xfId="0" applyFont="1" applyFill="1" applyBorder="1"/>
    <xf numFmtId="49" fontId="2" fillId="9" borderId="25" xfId="0" applyNumberFormat="1" applyFont="1" applyFill="1" applyBorder="1"/>
    <xf numFmtId="1" fontId="2" fillId="9" borderId="11" xfId="0" applyNumberFormat="1" applyFont="1" applyFill="1" applyBorder="1" applyAlignment="1">
      <alignment horizontal="center"/>
    </xf>
    <xf numFmtId="167" fontId="2" fillId="9" borderId="25" xfId="0" applyNumberFormat="1" applyFont="1" applyFill="1" applyBorder="1"/>
    <xf numFmtId="167" fontId="2" fillId="9" borderId="11" xfId="0" applyNumberFormat="1" applyFont="1" applyFill="1" applyBorder="1"/>
    <xf numFmtId="167" fontId="2" fillId="9" borderId="16" xfId="0" applyNumberFormat="1" applyFont="1" applyFill="1" applyBorder="1"/>
    <xf numFmtId="0" fontId="2" fillId="9" borderId="24" xfId="0" applyFont="1" applyFill="1" applyBorder="1"/>
    <xf numFmtId="49" fontId="2" fillId="9" borderId="24" xfId="0" applyNumberFormat="1" applyFont="1" applyFill="1" applyBorder="1"/>
    <xf numFmtId="0" fontId="2" fillId="9" borderId="24" xfId="0" applyFont="1" applyFill="1" applyBorder="1" applyAlignment="1">
      <alignment wrapText="1"/>
    </xf>
    <xf numFmtId="0" fontId="2" fillId="10" borderId="25" xfId="0" applyFont="1" applyFill="1" applyBorder="1"/>
    <xf numFmtId="49" fontId="2" fillId="10" borderId="25" xfId="0" applyNumberFormat="1" applyFont="1" applyFill="1" applyBorder="1" applyAlignment="1">
      <alignment horizontal="center"/>
    </xf>
    <xf numFmtId="1" fontId="2" fillId="10" borderId="25" xfId="0" applyNumberFormat="1" applyFont="1" applyFill="1" applyBorder="1" applyAlignment="1">
      <alignment horizontal="center"/>
    </xf>
    <xf numFmtId="167" fontId="2" fillId="10" borderId="25" xfId="0" applyNumberFormat="1" applyFont="1" applyFill="1" applyBorder="1"/>
    <xf numFmtId="49" fontId="2" fillId="10" borderId="25" xfId="0" applyNumberFormat="1" applyFont="1" applyFill="1" applyBorder="1" applyAlignment="1">
      <alignment horizontal="center" vertical="center"/>
    </xf>
    <xf numFmtId="1" fontId="2" fillId="10" borderId="25" xfId="0" applyNumberFormat="1" applyFont="1" applyFill="1" applyBorder="1" applyAlignment="1">
      <alignment horizontal="center" vertical="center"/>
    </xf>
    <xf numFmtId="49" fontId="10" fillId="8" borderId="16" xfId="0" applyNumberFormat="1" applyFont="1" applyFill="1" applyBorder="1" applyAlignment="1">
      <alignment horizontal="center"/>
    </xf>
    <xf numFmtId="167" fontId="2" fillId="2" borderId="25" xfId="0" applyNumberFormat="1" applyFont="1" applyFill="1" applyBorder="1"/>
    <xf numFmtId="167" fontId="10" fillId="8" borderId="11" xfId="0" applyNumberFormat="1" applyFont="1" applyFill="1" applyBorder="1"/>
    <xf numFmtId="49" fontId="2" fillId="9" borderId="11" xfId="0" applyNumberFormat="1" applyFont="1" applyFill="1" applyBorder="1"/>
    <xf numFmtId="167" fontId="2" fillId="2" borderId="25" xfId="0" applyNumberFormat="1" applyFont="1" applyFill="1" applyBorder="1" applyAlignment="1">
      <alignment horizontal="center" vertical="center"/>
    </xf>
    <xf numFmtId="49" fontId="2" fillId="9" borderId="24" xfId="0" applyNumberFormat="1" applyFont="1" applyFill="1" applyBorder="1" applyAlignment="1">
      <alignment wrapText="1"/>
    </xf>
    <xf numFmtId="49" fontId="2" fillId="8" borderId="48" xfId="0" applyNumberFormat="1" applyFont="1" applyFill="1" applyBorder="1" applyAlignment="1">
      <alignment horizontal="center"/>
    </xf>
    <xf numFmtId="49" fontId="2" fillId="8" borderId="50" xfId="0" applyNumberFormat="1" applyFont="1" applyFill="1" applyBorder="1" applyAlignment="1">
      <alignment horizontal="center"/>
    </xf>
    <xf numFmtId="49" fontId="2" fillId="8" borderId="51" xfId="0" applyNumberFormat="1" applyFont="1" applyFill="1" applyBorder="1" applyAlignment="1">
      <alignment horizontal="center"/>
    </xf>
    <xf numFmtId="49" fontId="2" fillId="8" borderId="52" xfId="0" applyNumberFormat="1" applyFont="1" applyFill="1" applyBorder="1" applyAlignment="1">
      <alignment horizontal="center"/>
    </xf>
    <xf numFmtId="1" fontId="2" fillId="8" borderId="52" xfId="0" applyNumberFormat="1" applyFont="1" applyFill="1" applyBorder="1" applyAlignment="1">
      <alignment horizontal="center"/>
    </xf>
    <xf numFmtId="167" fontId="2" fillId="8" borderId="53" xfId="0" applyNumberFormat="1" applyFont="1" applyFill="1" applyBorder="1"/>
    <xf numFmtId="167" fontId="2" fillId="8" borderId="51" xfId="0" applyNumberFormat="1" applyFont="1" applyFill="1" applyBorder="1"/>
    <xf numFmtId="0" fontId="2" fillId="9" borderId="40" xfId="0" applyFont="1" applyFill="1" applyBorder="1"/>
    <xf numFmtId="0" fontId="2" fillId="9" borderId="42" xfId="0" applyFont="1" applyFill="1" applyBorder="1"/>
    <xf numFmtId="0" fontId="2" fillId="9" borderId="52" xfId="0" applyFont="1" applyFill="1" applyBorder="1"/>
    <xf numFmtId="49" fontId="2" fillId="9" borderId="52" xfId="0" applyNumberFormat="1" applyFont="1" applyFill="1" applyBorder="1"/>
    <xf numFmtId="1" fontId="2" fillId="9" borderId="53" xfId="0" applyNumberFormat="1" applyFont="1" applyFill="1" applyBorder="1" applyAlignment="1">
      <alignment horizontal="center"/>
    </xf>
    <xf numFmtId="167" fontId="2" fillId="9" borderId="51" xfId="0" applyNumberFormat="1" applyFont="1" applyFill="1" applyBorder="1"/>
    <xf numFmtId="0" fontId="2" fillId="10" borderId="40" xfId="0" applyFont="1" applyFill="1" applyBorder="1"/>
    <xf numFmtId="0" fontId="2" fillId="10" borderId="42" xfId="0" applyFont="1" applyFill="1" applyBorder="1"/>
    <xf numFmtId="0" fontId="2" fillId="10" borderId="35" xfId="0" applyFont="1" applyFill="1" applyBorder="1"/>
    <xf numFmtId="49" fontId="2" fillId="10" borderId="35" xfId="0" applyNumberFormat="1" applyFont="1" applyFill="1" applyBorder="1" applyAlignment="1">
      <alignment horizontal="center" vertical="center"/>
    </xf>
    <xf numFmtId="1" fontId="2" fillId="10" borderId="35" xfId="0" applyNumberFormat="1" applyFont="1" applyFill="1" applyBorder="1" applyAlignment="1">
      <alignment horizontal="center" vertical="center"/>
    </xf>
    <xf numFmtId="167" fontId="2" fillId="10" borderId="35" xfId="0" applyNumberFormat="1" applyFont="1" applyFill="1" applyBorder="1"/>
    <xf numFmtId="167" fontId="2" fillId="2" borderId="35" xfId="0" applyNumberFormat="1" applyFont="1" applyFill="1" applyBorder="1"/>
    <xf numFmtId="49" fontId="2" fillId="9" borderId="40" xfId="0" applyNumberFormat="1" applyFont="1" applyFill="1" applyBorder="1"/>
    <xf numFmtId="167" fontId="2" fillId="2" borderId="41" xfId="0" applyNumberFormat="1" applyFont="1" applyFill="1" applyBorder="1" applyAlignment="1">
      <alignment horizontal="center" vertical="center"/>
    </xf>
    <xf numFmtId="167" fontId="2" fillId="9" borderId="41" xfId="0" applyNumberFormat="1" applyFont="1" applyFill="1" applyBorder="1"/>
    <xf numFmtId="49" fontId="2" fillId="9" borderId="42" xfId="0" applyNumberFormat="1" applyFont="1" applyFill="1" applyBorder="1"/>
    <xf numFmtId="167" fontId="2" fillId="9" borderId="53" xfId="0" applyNumberFormat="1" applyFont="1" applyFill="1" applyBorder="1"/>
    <xf numFmtId="167" fontId="2" fillId="9" borderId="43" xfId="0" applyNumberFormat="1" applyFont="1" applyFill="1" applyBorder="1"/>
    <xf numFmtId="167" fontId="2" fillId="10" borderId="41" xfId="0" applyNumberFormat="1" applyFont="1" applyFill="1" applyBorder="1"/>
    <xf numFmtId="167" fontId="2" fillId="10" borderId="43" xfId="0" applyNumberFormat="1" applyFont="1" applyFill="1" applyBorder="1"/>
    <xf numFmtId="167" fontId="2" fillId="8" borderId="41" xfId="0" applyNumberFormat="1" applyFont="1" applyFill="1" applyBorder="1"/>
    <xf numFmtId="167" fontId="2" fillId="8" borderId="43" xfId="0" applyNumberFormat="1" applyFont="1" applyFill="1" applyBorder="1"/>
    <xf numFmtId="0" fontId="2" fillId="2" borderId="40" xfId="0" applyFont="1" applyFill="1" applyBorder="1"/>
    <xf numFmtId="0" fontId="2" fillId="2" borderId="25" xfId="0" applyFont="1" applyFill="1" applyBorder="1"/>
    <xf numFmtId="1" fontId="2" fillId="9" borderId="25" xfId="0" applyNumberFormat="1" applyFont="1" applyFill="1" applyBorder="1" applyAlignment="1">
      <alignment horizontal="center"/>
    </xf>
    <xf numFmtId="167" fontId="2" fillId="13" borderId="55" xfId="0" applyNumberFormat="1" applyFont="1" applyFill="1" applyBorder="1" applyAlignment="1">
      <alignment horizontal="center" vertical="center"/>
    </xf>
    <xf numFmtId="167" fontId="2" fillId="13" borderId="36" xfId="0" applyNumberFormat="1" applyFont="1" applyFill="1" applyBorder="1" applyAlignment="1">
      <alignment horizontal="center" vertical="center"/>
    </xf>
    <xf numFmtId="173" fontId="2" fillId="2" borderId="25" xfId="0" applyNumberFormat="1" applyFont="1" applyFill="1" applyBorder="1"/>
    <xf numFmtId="167" fontId="33" fillId="2" borderId="0" xfId="0" applyNumberFormat="1" applyFont="1" applyFill="1"/>
    <xf numFmtId="166" fontId="2" fillId="3" borderId="0" xfId="1" applyFont="1" applyFill="1"/>
    <xf numFmtId="0" fontId="7" fillId="2" borderId="0" xfId="0" applyFont="1" applyFill="1"/>
    <xf numFmtId="14" fontId="13" fillId="3" borderId="25" xfId="0" applyNumberFormat="1" applyFont="1" applyFill="1" applyBorder="1" applyAlignment="1">
      <alignment horizontal="center"/>
    </xf>
    <xf numFmtId="0" fontId="12" fillId="3" borderId="40" xfId="0" applyFont="1" applyFill="1" applyBorder="1"/>
    <xf numFmtId="166" fontId="2" fillId="2" borderId="0" xfId="1" applyFont="1" applyFill="1"/>
    <xf numFmtId="0" fontId="2" fillId="16" borderId="0" xfId="0" applyFont="1" applyFill="1"/>
    <xf numFmtId="0" fontId="35" fillId="3" borderId="0" xfId="0" applyFont="1" applyFill="1"/>
    <xf numFmtId="171" fontId="10" fillId="4" borderId="25" xfId="0" applyNumberFormat="1" applyFont="1" applyFill="1" applyBorder="1" applyAlignment="1">
      <alignment horizontal="right" vertical="center" indent="6"/>
    </xf>
    <xf numFmtId="0" fontId="10" fillId="4" borderId="25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2" borderId="45" xfId="0" applyFont="1" applyFill="1" applyBorder="1"/>
    <xf numFmtId="166" fontId="2" fillId="2" borderId="0" xfId="0" applyNumberFormat="1" applyFont="1" applyFill="1"/>
    <xf numFmtId="0" fontId="2" fillId="6" borderId="45" xfId="0" applyFont="1" applyFill="1" applyBorder="1"/>
    <xf numFmtId="0" fontId="37" fillId="2" borderId="0" xfId="0" applyFont="1" applyFill="1"/>
    <xf numFmtId="0" fontId="22" fillId="4" borderId="18" xfId="0" applyFont="1" applyFill="1" applyBorder="1"/>
    <xf numFmtId="0" fontId="22" fillId="4" borderId="16" xfId="0" applyFont="1" applyFill="1" applyBorder="1"/>
    <xf numFmtId="14" fontId="34" fillId="3" borderId="56" xfId="0" applyNumberFormat="1" applyFont="1" applyFill="1" applyBorder="1"/>
    <xf numFmtId="14" fontId="34" fillId="3" borderId="59" xfId="0" applyNumberFormat="1" applyFont="1" applyFill="1" applyBorder="1"/>
    <xf numFmtId="0" fontId="2" fillId="3" borderId="0" xfId="0" applyFont="1" applyFill="1" applyAlignment="1">
      <alignment horizontal="center" vertical="center"/>
    </xf>
    <xf numFmtId="2" fontId="36" fillId="3" borderId="25" xfId="0" applyNumberFormat="1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 vertical="top"/>
    </xf>
    <xf numFmtId="2" fontId="32" fillId="3" borderId="41" xfId="0" applyNumberFormat="1" applyFont="1" applyFill="1" applyBorder="1" applyAlignment="1">
      <alignment horizontal="center"/>
    </xf>
    <xf numFmtId="14" fontId="2" fillId="3" borderId="41" xfId="0" applyNumberFormat="1" applyFont="1" applyFill="1" applyBorder="1" applyAlignment="1">
      <alignment horizontal="center"/>
    </xf>
    <xf numFmtId="173" fontId="8" fillId="3" borderId="0" xfId="0" applyNumberFormat="1" applyFont="1" applyFill="1"/>
    <xf numFmtId="171" fontId="26" fillId="18" borderId="25" xfId="0" applyNumberFormat="1" applyFont="1" applyFill="1" applyBorder="1" applyAlignment="1">
      <alignment vertical="center"/>
    </xf>
    <xf numFmtId="0" fontId="38" fillId="19" borderId="25" xfId="0" applyFont="1" applyFill="1" applyBorder="1"/>
    <xf numFmtId="0" fontId="2" fillId="3" borderId="15" xfId="0" applyFont="1" applyFill="1" applyBorder="1" applyAlignment="1">
      <alignment horizontal="center" vertical="center"/>
    </xf>
    <xf numFmtId="14" fontId="31" fillId="2" borderId="25" xfId="0" applyNumberFormat="1" applyFont="1" applyFill="1" applyBorder="1"/>
    <xf numFmtId="167" fontId="31" fillId="2" borderId="25" xfId="0" applyNumberFormat="1" applyFont="1" applyFill="1" applyBorder="1"/>
    <xf numFmtId="166" fontId="3" fillId="3" borderId="40" xfId="1" applyFont="1" applyFill="1" applyBorder="1" applyAlignment="1">
      <alignment horizontal="center" vertical="top"/>
    </xf>
    <xf numFmtId="173" fontId="3" fillId="3" borderId="22" xfId="0" applyNumberFormat="1" applyFont="1" applyFill="1" applyBorder="1"/>
    <xf numFmtId="173" fontId="3" fillId="3" borderId="25" xfId="0" applyNumberFormat="1" applyFont="1" applyFill="1" applyBorder="1"/>
    <xf numFmtId="173" fontId="3" fillId="3" borderId="13" xfId="0" applyNumberFormat="1" applyFont="1" applyFill="1" applyBorder="1"/>
    <xf numFmtId="166" fontId="40" fillId="3" borderId="40" xfId="1" applyFont="1" applyFill="1" applyBorder="1" applyAlignment="1">
      <alignment horizontal="center" vertical="top"/>
    </xf>
    <xf numFmtId="173" fontId="40" fillId="3" borderId="9" xfId="0" applyNumberFormat="1" applyFont="1" applyFill="1" applyBorder="1"/>
    <xf numFmtId="173" fontId="40" fillId="3" borderId="21" xfId="0" applyNumberFormat="1" applyFont="1" applyFill="1" applyBorder="1"/>
    <xf numFmtId="173" fontId="40" fillId="3" borderId="12" xfId="0" applyNumberFormat="1" applyFont="1" applyFill="1" applyBorder="1"/>
    <xf numFmtId="166" fontId="12" fillId="3" borderId="10" xfId="1" applyFont="1" applyFill="1" applyBorder="1" applyAlignment="1">
      <alignment horizontal="center" vertical="top"/>
    </xf>
    <xf numFmtId="166" fontId="12" fillId="3" borderId="15" xfId="1" applyFont="1" applyFill="1" applyBorder="1" applyAlignment="1">
      <alignment horizontal="center" vertical="top"/>
    </xf>
    <xf numFmtId="166" fontId="12" fillId="3" borderId="17" xfId="1" applyFont="1" applyFill="1" applyBorder="1" applyAlignment="1">
      <alignment horizontal="center" vertical="top"/>
    </xf>
    <xf numFmtId="14" fontId="31" fillId="2" borderId="0" xfId="0" applyNumberFormat="1" applyFont="1" applyFill="1"/>
    <xf numFmtId="167" fontId="2" fillId="9" borderId="63" xfId="0" applyNumberFormat="1" applyFont="1" applyFill="1" applyBorder="1"/>
    <xf numFmtId="167" fontId="2" fillId="9" borderId="64" xfId="0" applyNumberFormat="1" applyFont="1" applyFill="1" applyBorder="1"/>
    <xf numFmtId="14" fontId="31" fillId="2" borderId="10" xfId="0" applyNumberFormat="1" applyFont="1" applyFill="1" applyBorder="1"/>
    <xf numFmtId="14" fontId="31" fillId="2" borderId="15" xfId="0" applyNumberFormat="1" applyFont="1" applyFill="1" applyBorder="1"/>
    <xf numFmtId="14" fontId="31" fillId="2" borderId="13" xfId="0" applyNumberFormat="1" applyFont="1" applyFill="1" applyBorder="1"/>
    <xf numFmtId="14" fontId="31" fillId="2" borderId="17" xfId="0" applyNumberFormat="1" applyFont="1" applyFill="1" applyBorder="1"/>
    <xf numFmtId="166" fontId="12" fillId="3" borderId="65" xfId="1" applyFont="1" applyFill="1" applyBorder="1" applyAlignment="1">
      <alignment horizontal="center" vertical="top"/>
    </xf>
    <xf numFmtId="14" fontId="34" fillId="3" borderId="3" xfId="0" applyNumberFormat="1" applyFont="1" applyFill="1" applyBorder="1"/>
    <xf numFmtId="2" fontId="36" fillId="3" borderId="3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2" fillId="2" borderId="0" xfId="0" applyNumberFormat="1" applyFont="1" applyFill="1"/>
    <xf numFmtId="0" fontId="26" fillId="18" borderId="25" xfId="0" applyFont="1" applyFill="1" applyBorder="1" applyAlignment="1">
      <alignment vertical="center"/>
    </xf>
    <xf numFmtId="0" fontId="27" fillId="18" borderId="25" xfId="0" applyFont="1" applyFill="1" applyBorder="1" applyAlignment="1">
      <alignment horizontal="center" vertical="center"/>
    </xf>
    <xf numFmtId="169" fontId="41" fillId="3" borderId="15" xfId="0" applyNumberFormat="1" applyFont="1" applyFill="1" applyBorder="1"/>
    <xf numFmtId="0" fontId="2" fillId="3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6" fontId="2" fillId="3" borderId="0" xfId="1" applyFont="1" applyFill="1" applyAlignment="1">
      <alignment horizontal="center"/>
    </xf>
    <xf numFmtId="10" fontId="2" fillId="3" borderId="0" xfId="2" applyNumberFormat="1" applyFont="1" applyFill="1" applyAlignment="1">
      <alignment horizontal="center"/>
    </xf>
    <xf numFmtId="0" fontId="12" fillId="4" borderId="25" xfId="0" applyFont="1" applyFill="1" applyBorder="1" applyAlignment="1">
      <alignment horizontal="left" vertical="center"/>
    </xf>
    <xf numFmtId="169" fontId="41" fillId="3" borderId="25" xfId="0" applyNumberFormat="1" applyFont="1" applyFill="1" applyBorder="1"/>
    <xf numFmtId="1" fontId="2" fillId="3" borderId="25" xfId="0" applyNumberFormat="1" applyFont="1" applyFill="1" applyBorder="1" applyAlignment="1">
      <alignment horizontal="center" vertical="center"/>
    </xf>
    <xf numFmtId="1" fontId="2" fillId="3" borderId="21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7" fillId="2" borderId="25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173" fontId="10" fillId="3" borderId="25" xfId="0" applyNumberFormat="1" applyFont="1" applyFill="1" applyBorder="1"/>
    <xf numFmtId="0" fontId="42" fillId="2" borderId="0" xfId="0" applyFont="1" applyFill="1"/>
    <xf numFmtId="170" fontId="2" fillId="3" borderId="38" xfId="0" applyNumberFormat="1" applyFont="1" applyFill="1" applyBorder="1"/>
    <xf numFmtId="170" fontId="2" fillId="2" borderId="25" xfId="0" applyNumberFormat="1" applyFont="1" applyFill="1" applyBorder="1"/>
    <xf numFmtId="2" fontId="2" fillId="3" borderId="0" xfId="0" applyNumberFormat="1" applyFont="1" applyFill="1"/>
    <xf numFmtId="0" fontId="2" fillId="3" borderId="25" xfId="0" applyFont="1" applyFill="1" applyBorder="1" applyAlignment="1">
      <alignment horizontal="right"/>
    </xf>
    <xf numFmtId="0" fontId="17" fillId="3" borderId="13" xfId="0" applyFont="1" applyFill="1" applyBorder="1"/>
    <xf numFmtId="43" fontId="2" fillId="3" borderId="0" xfId="0" applyNumberFormat="1" applyFont="1" applyFill="1" applyAlignment="1">
      <alignment horizontal="center"/>
    </xf>
    <xf numFmtId="166" fontId="44" fillId="3" borderId="66" xfId="1" applyFont="1" applyFill="1" applyBorder="1" applyAlignment="1">
      <alignment horizontal="center" vertical="top"/>
    </xf>
    <xf numFmtId="173" fontId="44" fillId="3" borderId="22" xfId="0" applyNumberFormat="1" applyFont="1" applyFill="1" applyBorder="1"/>
    <xf numFmtId="173" fontId="44" fillId="3" borderId="25" xfId="0" applyNumberFormat="1" applyFont="1" applyFill="1" applyBorder="1"/>
    <xf numFmtId="173" fontId="44" fillId="3" borderId="13" xfId="0" applyNumberFormat="1" applyFont="1" applyFill="1" applyBorder="1"/>
    <xf numFmtId="0" fontId="2" fillId="3" borderId="25" xfId="0" applyFont="1" applyFill="1" applyBorder="1" applyAlignment="1">
      <alignment horizontal="center"/>
    </xf>
    <xf numFmtId="171" fontId="19" fillId="3" borderId="25" xfId="0" applyNumberFormat="1" applyFont="1" applyFill="1" applyBorder="1" applyAlignment="1">
      <alignment horizontal="center"/>
    </xf>
    <xf numFmtId="0" fontId="27" fillId="4" borderId="25" xfId="0" applyFont="1" applyFill="1" applyBorder="1" applyAlignment="1">
      <alignment horizontal="center" vertical="center"/>
    </xf>
    <xf numFmtId="0" fontId="2" fillId="3" borderId="69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/>
    </xf>
    <xf numFmtId="0" fontId="8" fillId="3" borderId="70" xfId="0" applyFont="1" applyFill="1" applyBorder="1"/>
    <xf numFmtId="0" fontId="8" fillId="3" borderId="26" xfId="0" applyFont="1" applyFill="1" applyBorder="1"/>
    <xf numFmtId="0" fontId="8" fillId="3" borderId="74" xfId="0" applyFont="1" applyFill="1" applyBorder="1"/>
    <xf numFmtId="0" fontId="2" fillId="3" borderId="71" xfId="0" applyFont="1" applyFill="1" applyBorder="1" applyAlignment="1">
      <alignment horizontal="center"/>
    </xf>
    <xf numFmtId="0" fontId="2" fillId="3" borderId="75" xfId="0" applyFont="1" applyFill="1" applyBorder="1" applyAlignment="1">
      <alignment horizontal="center"/>
    </xf>
    <xf numFmtId="0" fontId="8" fillId="3" borderId="75" xfId="0" applyFont="1" applyFill="1" applyBorder="1"/>
    <xf numFmtId="0" fontId="8" fillId="3" borderId="72" xfId="0" applyFont="1" applyFill="1" applyBorder="1"/>
    <xf numFmtId="0" fontId="2" fillId="2" borderId="15" xfId="0" applyFont="1" applyFill="1" applyBorder="1"/>
    <xf numFmtId="0" fontId="2" fillId="3" borderId="76" xfId="0" applyFont="1" applyFill="1" applyBorder="1"/>
    <xf numFmtId="0" fontId="2" fillId="15" borderId="25" xfId="0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173" fontId="46" fillId="2" borderId="47" xfId="0" applyNumberFormat="1" applyFont="1" applyFill="1" applyBorder="1"/>
    <xf numFmtId="173" fontId="46" fillId="2" borderId="35" xfId="0" applyNumberFormat="1" applyFont="1" applyFill="1" applyBorder="1"/>
    <xf numFmtId="2" fontId="48" fillId="2" borderId="25" xfId="0" applyNumberFormat="1" applyFont="1" applyFill="1" applyBorder="1"/>
    <xf numFmtId="167" fontId="48" fillId="2" borderId="25" xfId="0" applyNumberFormat="1" applyFont="1" applyFill="1" applyBorder="1"/>
    <xf numFmtId="0" fontId="7" fillId="2" borderId="25" xfId="0" applyFont="1" applyFill="1" applyBorder="1"/>
    <xf numFmtId="169" fontId="46" fillId="3" borderId="25" xfId="0" applyNumberFormat="1" applyFont="1" applyFill="1" applyBorder="1" applyAlignment="1">
      <alignment horizontal="center"/>
    </xf>
    <xf numFmtId="166" fontId="46" fillId="3" borderId="25" xfId="0" applyNumberFormat="1" applyFont="1" applyFill="1" applyBorder="1" applyAlignment="1">
      <alignment horizontal="center"/>
    </xf>
    <xf numFmtId="0" fontId="46" fillId="3" borderId="25" xfId="0" applyFont="1" applyFill="1" applyBorder="1" applyAlignment="1">
      <alignment horizontal="center"/>
    </xf>
    <xf numFmtId="166" fontId="46" fillId="3" borderId="0" xfId="1" applyFont="1" applyFill="1"/>
    <xf numFmtId="14" fontId="2" fillId="3" borderId="38" xfId="0" applyNumberFormat="1" applyFont="1" applyFill="1" applyBorder="1" applyAlignment="1">
      <alignment horizontal="center"/>
    </xf>
    <xf numFmtId="2" fontId="2" fillId="3" borderId="38" xfId="0" applyNumberFormat="1" applyFont="1" applyFill="1" applyBorder="1" applyAlignment="1">
      <alignment horizontal="center"/>
    </xf>
    <xf numFmtId="14" fontId="49" fillId="3" borderId="25" xfId="0" applyNumberFormat="1" applyFont="1" applyFill="1" applyBorder="1" applyAlignment="1">
      <alignment horizontal="center"/>
    </xf>
    <xf numFmtId="2" fontId="49" fillId="3" borderId="25" xfId="0" applyNumberFormat="1" applyFont="1" applyFill="1" applyBorder="1" applyAlignment="1">
      <alignment horizontal="center"/>
    </xf>
    <xf numFmtId="170" fontId="46" fillId="3" borderId="25" xfId="0" applyNumberFormat="1" applyFont="1" applyFill="1" applyBorder="1"/>
    <xf numFmtId="2" fontId="46" fillId="3" borderId="0" xfId="0" applyNumberFormat="1" applyFont="1" applyFill="1"/>
    <xf numFmtId="1" fontId="2" fillId="3" borderId="0" xfId="0" applyNumberFormat="1" applyFont="1" applyFill="1" applyAlignment="1">
      <alignment horizontal="center" vertical="center"/>
    </xf>
    <xf numFmtId="167" fontId="31" fillId="2" borderId="22" xfId="0" applyNumberFormat="1" applyFont="1" applyFill="1" applyBorder="1"/>
    <xf numFmtId="167" fontId="33" fillId="2" borderId="25" xfId="0" applyNumberFormat="1" applyFont="1" applyFill="1" applyBorder="1"/>
    <xf numFmtId="167" fontId="31" fillId="2" borderId="21" xfId="0" applyNumberFormat="1" applyFont="1" applyFill="1" applyBorder="1"/>
    <xf numFmtId="167" fontId="31" fillId="2" borderId="15" xfId="0" applyNumberFormat="1" applyFont="1" applyFill="1" applyBorder="1"/>
    <xf numFmtId="167" fontId="31" fillId="2" borderId="12" xfId="0" applyNumberFormat="1" applyFont="1" applyFill="1" applyBorder="1"/>
    <xf numFmtId="167" fontId="31" fillId="2" borderId="17" xfId="0" applyNumberFormat="1" applyFont="1" applyFill="1" applyBorder="1"/>
    <xf numFmtId="0" fontId="7" fillId="2" borderId="12" xfId="0" applyFont="1" applyFill="1" applyBorder="1"/>
    <xf numFmtId="0" fontId="7" fillId="2" borderId="17" xfId="0" applyFont="1" applyFill="1" applyBorder="1"/>
    <xf numFmtId="0" fontId="31" fillId="2" borderId="25" xfId="0" applyFont="1" applyFill="1" applyBorder="1"/>
    <xf numFmtId="0" fontId="7" fillId="19" borderId="25" xfId="0" applyFont="1" applyFill="1" applyBorder="1"/>
    <xf numFmtId="171" fontId="50" fillId="18" borderId="25" xfId="0" applyNumberFormat="1" applyFont="1" applyFill="1" applyBorder="1" applyAlignment="1">
      <alignment vertical="center"/>
    </xf>
    <xf numFmtId="0" fontId="50" fillId="18" borderId="25" xfId="0" applyFont="1" applyFill="1" applyBorder="1" applyAlignment="1">
      <alignment vertical="center"/>
    </xf>
    <xf numFmtId="171" fontId="2" fillId="3" borderId="25" xfId="0" applyNumberFormat="1" applyFont="1" applyFill="1" applyBorder="1" applyAlignment="1">
      <alignment horizontal="center"/>
    </xf>
    <xf numFmtId="0" fontId="45" fillId="4" borderId="25" xfId="0" applyFont="1" applyFill="1" applyBorder="1" applyAlignment="1">
      <alignment horizontal="center" vertical="center"/>
    </xf>
    <xf numFmtId="0" fontId="51" fillId="18" borderId="25" xfId="0" applyFont="1" applyFill="1" applyBorder="1" applyAlignment="1">
      <alignment vertical="center"/>
    </xf>
    <xf numFmtId="0" fontId="52" fillId="19" borderId="25" xfId="0" applyFont="1" applyFill="1" applyBorder="1"/>
    <xf numFmtId="171" fontId="41" fillId="3" borderId="25" xfId="0" applyNumberFormat="1" applyFont="1" applyFill="1" applyBorder="1" applyAlignment="1">
      <alignment horizontal="center"/>
    </xf>
    <xf numFmtId="0" fontId="51" fillId="4" borderId="25" xfId="0" applyFont="1" applyFill="1" applyBorder="1" applyAlignment="1">
      <alignment horizontal="center" vertical="center"/>
    </xf>
    <xf numFmtId="171" fontId="51" fillId="18" borderId="25" xfId="0" applyNumberFormat="1" applyFont="1" applyFill="1" applyBorder="1" applyAlignment="1">
      <alignment vertical="center"/>
    </xf>
    <xf numFmtId="0" fontId="53" fillId="18" borderId="25" xfId="0" applyFont="1" applyFill="1" applyBorder="1" applyAlignment="1">
      <alignment vertical="center"/>
    </xf>
    <xf numFmtId="0" fontId="54" fillId="2" borderId="25" xfId="0" applyFont="1" applyFill="1" applyBorder="1"/>
    <xf numFmtId="0" fontId="53" fillId="3" borderId="25" xfId="0" applyFont="1" applyFill="1" applyBorder="1" applyAlignment="1">
      <alignment vertical="center"/>
    </xf>
    <xf numFmtId="0" fontId="55" fillId="19" borderId="25" xfId="0" applyFont="1" applyFill="1" applyBorder="1"/>
    <xf numFmtId="171" fontId="53" fillId="18" borderId="25" xfId="0" applyNumberFormat="1" applyFont="1" applyFill="1" applyBorder="1" applyAlignment="1">
      <alignment vertical="center"/>
    </xf>
    <xf numFmtId="0" fontId="56" fillId="7" borderId="8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 wrapText="1"/>
    </xf>
    <xf numFmtId="0" fontId="57" fillId="2" borderId="0" xfId="0" applyFont="1" applyFill="1" applyAlignment="1">
      <alignment horizontal="center" vertical="center" wrapText="1"/>
    </xf>
    <xf numFmtId="0" fontId="56" fillId="2" borderId="0" xfId="0" applyFont="1" applyFill="1"/>
    <xf numFmtId="2" fontId="8" fillId="3" borderId="0" xfId="0" applyNumberFormat="1" applyFont="1" applyFill="1"/>
    <xf numFmtId="2" fontId="22" fillId="4" borderId="8" xfId="0" applyNumberFormat="1" applyFont="1" applyFill="1" applyBorder="1"/>
    <xf numFmtId="0" fontId="2" fillId="3" borderId="0" xfId="0" applyFont="1" applyFill="1" applyAlignment="1">
      <alignment wrapText="1"/>
    </xf>
    <xf numFmtId="170" fontId="2" fillId="3" borderId="25" xfId="0" applyNumberFormat="1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14" fontId="12" fillId="4" borderId="27" xfId="0" applyNumberFormat="1" applyFont="1" applyFill="1" applyBorder="1" applyAlignment="1">
      <alignment horizontal="left" vertical="center"/>
    </xf>
    <xf numFmtId="14" fontId="12" fillId="4" borderId="23" xfId="0" applyNumberFormat="1" applyFont="1" applyFill="1" applyBorder="1" applyAlignment="1">
      <alignment horizontal="left" vertical="center"/>
    </xf>
    <xf numFmtId="14" fontId="12" fillId="4" borderId="28" xfId="0" applyNumberFormat="1" applyFont="1" applyFill="1" applyBorder="1" applyAlignment="1">
      <alignment horizontal="left" vertical="center"/>
    </xf>
    <xf numFmtId="14" fontId="12" fillId="4" borderId="19" xfId="0" applyNumberFormat="1" applyFont="1" applyFill="1" applyBorder="1" applyAlignment="1">
      <alignment horizontal="left" vertical="center"/>
    </xf>
    <xf numFmtId="170" fontId="3" fillId="3" borderId="77" xfId="0" applyNumberFormat="1" applyFont="1" applyFill="1" applyBorder="1" applyAlignment="1">
      <alignment horizontal="center" vertical="center"/>
    </xf>
    <xf numFmtId="170" fontId="3" fillId="3" borderId="62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70" fontId="46" fillId="3" borderId="22" xfId="0" applyNumberFormat="1" applyFont="1" applyFill="1" applyBorder="1" applyAlignment="1">
      <alignment horizontal="center" vertical="center"/>
    </xf>
    <xf numFmtId="170" fontId="46" fillId="3" borderId="35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right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47" fillId="3" borderId="60" xfId="0" applyFont="1" applyFill="1" applyBorder="1" applyAlignment="1">
      <alignment horizontal="center" vertical="center"/>
    </xf>
    <xf numFmtId="0" fontId="47" fillId="3" borderId="57" xfId="0" applyFont="1" applyFill="1" applyBorder="1" applyAlignment="1">
      <alignment horizontal="center" vertical="center"/>
    </xf>
    <xf numFmtId="0" fontId="47" fillId="3" borderId="58" xfId="0" applyFont="1" applyFill="1" applyBorder="1" applyAlignment="1">
      <alignment horizontal="center" vertical="center"/>
    </xf>
    <xf numFmtId="0" fontId="2" fillId="17" borderId="22" xfId="0" applyFont="1" applyFill="1" applyBorder="1" applyAlignment="1">
      <alignment horizontal="right" vertical="center"/>
    </xf>
    <xf numFmtId="0" fontId="2" fillId="17" borderId="25" xfId="0" applyFont="1" applyFill="1" applyBorder="1" applyAlignment="1">
      <alignment horizontal="right" vertical="center"/>
    </xf>
    <xf numFmtId="14" fontId="2" fillId="3" borderId="9" xfId="0" applyNumberFormat="1" applyFont="1" applyFill="1" applyBorder="1" applyAlignment="1">
      <alignment horizontal="center" vertical="center" wrapText="1"/>
    </xf>
    <xf numFmtId="14" fontId="2" fillId="3" borderId="21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73" fontId="3" fillId="22" borderId="38" xfId="0" applyNumberFormat="1" applyFont="1" applyFill="1" applyBorder="1" applyAlignment="1">
      <alignment horizontal="center"/>
    </xf>
    <xf numFmtId="0" fontId="3" fillId="22" borderId="3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70" fontId="3" fillId="3" borderId="10" xfId="0" applyNumberFormat="1" applyFont="1" applyFill="1" applyBorder="1" applyAlignment="1">
      <alignment horizontal="center" vertical="center"/>
    </xf>
    <xf numFmtId="170" fontId="3" fillId="3" borderId="17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14" fontId="12" fillId="4" borderId="24" xfId="0" applyNumberFormat="1" applyFont="1" applyFill="1" applyBorder="1" applyAlignment="1">
      <alignment horizontal="left" vertical="center"/>
    </xf>
    <xf numFmtId="14" fontId="12" fillId="4" borderId="25" xfId="0" applyNumberFormat="1" applyFont="1" applyFill="1" applyBorder="1" applyAlignment="1">
      <alignment horizontal="left" vertical="center"/>
    </xf>
    <xf numFmtId="0" fontId="3" fillId="3" borderId="6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53" fillId="18" borderId="25" xfId="0" applyFont="1" applyFill="1" applyBorder="1" applyAlignment="1">
      <alignment horizontal="center" vertical="center"/>
    </xf>
    <xf numFmtId="0" fontId="53" fillId="4" borderId="25" xfId="0" applyFont="1" applyFill="1" applyBorder="1" applyAlignment="1">
      <alignment horizontal="center" vertical="center"/>
    </xf>
    <xf numFmtId="171" fontId="56" fillId="3" borderId="25" xfId="0" applyNumberFormat="1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 vertical="center"/>
    </xf>
    <xf numFmtId="0" fontId="2" fillId="17" borderId="25" xfId="0" applyFont="1" applyFill="1" applyBorder="1" applyAlignment="1">
      <alignment horizontal="center" vertical="center"/>
    </xf>
    <xf numFmtId="2" fontId="2" fillId="17" borderId="22" xfId="0" applyNumberFormat="1" applyFont="1" applyFill="1" applyBorder="1" applyAlignment="1">
      <alignment horizontal="center" vertical="center"/>
    </xf>
    <xf numFmtId="2" fontId="2" fillId="17" borderId="35" xfId="0" applyNumberFormat="1" applyFont="1" applyFill="1" applyBorder="1" applyAlignment="1">
      <alignment horizontal="center" vertical="center"/>
    </xf>
    <xf numFmtId="0" fontId="31" fillId="2" borderId="25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21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6" fontId="2" fillId="16" borderId="0" xfId="1" applyFont="1" applyFill="1" applyAlignment="1">
      <alignment horizontal="center" vertical="center"/>
    </xf>
    <xf numFmtId="171" fontId="53" fillId="18" borderId="25" xfId="0" applyNumberFormat="1" applyFont="1" applyFill="1" applyBorder="1" applyAlignment="1">
      <alignment horizontal="right" vertical="center"/>
    </xf>
    <xf numFmtId="0" fontId="12" fillId="4" borderId="23" xfId="0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2" fontId="7" fillId="16" borderId="5" xfId="0" applyNumberFormat="1" applyFont="1" applyFill="1" applyBorder="1" applyAlignment="1">
      <alignment horizontal="center" vertical="center"/>
    </xf>
    <xf numFmtId="2" fontId="7" fillId="16" borderId="14" xfId="0" applyNumberFormat="1" applyFont="1" applyFill="1" applyBorder="1" applyAlignment="1">
      <alignment horizontal="center" vertical="center"/>
    </xf>
    <xf numFmtId="2" fontId="7" fillId="16" borderId="7" xfId="0" applyNumberFormat="1" applyFont="1" applyFill="1" applyBorder="1" applyAlignment="1">
      <alignment horizontal="center" vertical="center"/>
    </xf>
    <xf numFmtId="167" fontId="21" fillId="3" borderId="25" xfId="0" applyNumberFormat="1" applyFont="1" applyFill="1" applyBorder="1" applyAlignment="1">
      <alignment horizontal="center"/>
    </xf>
    <xf numFmtId="168" fontId="19" fillId="3" borderId="25" xfId="0" applyNumberFormat="1" applyFont="1" applyFill="1" applyBorder="1" applyAlignment="1">
      <alignment horizontal="center"/>
    </xf>
    <xf numFmtId="0" fontId="2" fillId="20" borderId="12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17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/>
    </xf>
    <xf numFmtId="0" fontId="2" fillId="20" borderId="22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2" fillId="21" borderId="22" xfId="0" applyFont="1" applyFill="1" applyBorder="1" applyAlignment="1">
      <alignment horizontal="center"/>
    </xf>
    <xf numFmtId="0" fontId="2" fillId="21" borderId="10" xfId="0" applyFont="1" applyFill="1" applyBorder="1" applyAlignment="1">
      <alignment horizontal="center"/>
    </xf>
    <xf numFmtId="169" fontId="2" fillId="21" borderId="21" xfId="0" applyNumberFormat="1" applyFont="1" applyFill="1" applyBorder="1" applyAlignment="1">
      <alignment horizontal="center" vertical="center"/>
    </xf>
    <xf numFmtId="169" fontId="2" fillId="21" borderId="25" xfId="0" applyNumberFormat="1" applyFont="1" applyFill="1" applyBorder="1" applyAlignment="1">
      <alignment horizontal="center" vertical="center"/>
    </xf>
    <xf numFmtId="169" fontId="2" fillId="21" borderId="15" xfId="0" applyNumberFormat="1" applyFont="1" applyFill="1" applyBorder="1" applyAlignment="1">
      <alignment horizontal="center" vertical="center"/>
    </xf>
    <xf numFmtId="171" fontId="56" fillId="3" borderId="25" xfId="0" applyNumberFormat="1" applyFont="1" applyFill="1" applyBorder="1" applyAlignment="1">
      <alignment horizontal="right"/>
    </xf>
    <xf numFmtId="164" fontId="4" fillId="2" borderId="21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70" fontId="2" fillId="2" borderId="73" xfId="0" applyNumberFormat="1" applyFont="1" applyFill="1" applyBorder="1" applyAlignment="1">
      <alignment horizontal="center"/>
    </xf>
    <xf numFmtId="170" fontId="2" fillId="2" borderId="31" xfId="0" applyNumberFormat="1" applyFont="1" applyFill="1" applyBorder="1" applyAlignment="1">
      <alignment horizontal="center"/>
    </xf>
    <xf numFmtId="170" fontId="2" fillId="2" borderId="25" xfId="0" applyNumberFormat="1" applyFont="1" applyFill="1" applyBorder="1" applyAlignment="1">
      <alignment horizontal="center"/>
    </xf>
    <xf numFmtId="170" fontId="2" fillId="2" borderId="15" xfId="0" applyNumberFormat="1" applyFont="1" applyFill="1" applyBorder="1" applyAlignment="1">
      <alignment horizontal="center"/>
    </xf>
    <xf numFmtId="170" fontId="40" fillId="3" borderId="67" xfId="0" applyNumberFormat="1" applyFont="1" applyFill="1" applyBorder="1" applyAlignment="1">
      <alignment horizontal="center"/>
    </xf>
    <xf numFmtId="170" fontId="40" fillId="3" borderId="6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70" fontId="4" fillId="2" borderId="67" xfId="0" applyNumberFormat="1" applyFont="1" applyFill="1" applyBorder="1" applyAlignment="1">
      <alignment horizontal="center"/>
    </xf>
    <xf numFmtId="170" fontId="4" fillId="2" borderId="68" xfId="0" applyNumberFormat="1" applyFont="1" applyFill="1" applyBorder="1" applyAlignment="1">
      <alignment horizontal="center"/>
    </xf>
    <xf numFmtId="170" fontId="43" fillId="2" borderId="67" xfId="0" applyNumberFormat="1" applyFont="1" applyFill="1" applyBorder="1" applyAlignment="1">
      <alignment horizontal="center"/>
    </xf>
    <xf numFmtId="170" fontId="43" fillId="2" borderId="68" xfId="0" applyNumberFormat="1" applyFont="1" applyFill="1" applyBorder="1" applyAlignment="1">
      <alignment horizontal="center"/>
    </xf>
    <xf numFmtId="0" fontId="40" fillId="2" borderId="9" xfId="0" applyFont="1" applyFill="1" applyBorder="1" applyAlignment="1">
      <alignment horizontal="center"/>
    </xf>
    <xf numFmtId="0" fontId="40" fillId="2" borderId="22" xfId="0" applyFont="1" applyFill="1" applyBorder="1" applyAlignment="1">
      <alignment horizontal="center"/>
    </xf>
    <xf numFmtId="164" fontId="40" fillId="2" borderId="21" xfId="0" applyNumberFormat="1" applyFont="1" applyFill="1" applyBorder="1" applyAlignment="1">
      <alignment horizontal="center"/>
    </xf>
    <xf numFmtId="164" fontId="40" fillId="2" borderId="25" xfId="0" applyNumberFormat="1" applyFont="1" applyFill="1" applyBorder="1" applyAlignment="1">
      <alignment horizontal="center"/>
    </xf>
    <xf numFmtId="0" fontId="43" fillId="2" borderId="9" xfId="0" applyFont="1" applyFill="1" applyBorder="1" applyAlignment="1">
      <alignment horizontal="center"/>
    </xf>
    <xf numFmtId="0" fontId="43" fillId="2" borderId="22" xfId="0" applyFont="1" applyFill="1" applyBorder="1" applyAlignment="1">
      <alignment horizontal="center"/>
    </xf>
    <xf numFmtId="170" fontId="24" fillId="2" borderId="69" xfId="0" applyNumberFormat="1" applyFont="1" applyFill="1" applyBorder="1" applyAlignment="1">
      <alignment horizontal="center"/>
    </xf>
    <xf numFmtId="170" fontId="24" fillId="2" borderId="70" xfId="0" applyNumberFormat="1" applyFont="1" applyFill="1" applyBorder="1" applyAlignment="1">
      <alignment horizontal="center"/>
    </xf>
    <xf numFmtId="170" fontId="17" fillId="3" borderId="71" xfId="0" applyNumberFormat="1" applyFont="1" applyFill="1" applyBorder="1" applyAlignment="1">
      <alignment horizontal="center" vertical="center"/>
    </xf>
    <xf numFmtId="170" fontId="17" fillId="3" borderId="72" xfId="0" applyNumberFormat="1" applyFont="1" applyFill="1" applyBorder="1" applyAlignment="1">
      <alignment horizontal="center" vertical="center"/>
    </xf>
    <xf numFmtId="164" fontId="43" fillId="2" borderId="21" xfId="0" applyNumberFormat="1" applyFont="1" applyFill="1" applyBorder="1" applyAlignment="1">
      <alignment horizontal="center"/>
    </xf>
    <xf numFmtId="164" fontId="43" fillId="2" borderId="25" xfId="0" applyNumberFormat="1" applyFont="1" applyFill="1" applyBorder="1" applyAlignment="1">
      <alignment horizontal="center"/>
    </xf>
    <xf numFmtId="164" fontId="43" fillId="2" borderId="12" xfId="0" applyNumberFormat="1" applyFont="1" applyFill="1" applyBorder="1" applyAlignment="1">
      <alignment horizontal="center"/>
    </xf>
    <xf numFmtId="164" fontId="43" fillId="2" borderId="13" xfId="0" applyNumberFormat="1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56" fillId="7" borderId="24" xfId="0" applyFont="1" applyFill="1" applyBorder="1" applyAlignment="1">
      <alignment horizontal="center" vertical="center"/>
    </xf>
    <xf numFmtId="0" fontId="56" fillId="7" borderId="25" xfId="0" applyFont="1" applyFill="1" applyBorder="1" applyAlignment="1">
      <alignment horizontal="center" vertical="center"/>
    </xf>
    <xf numFmtId="167" fontId="2" fillId="14" borderId="39" xfId="0" applyNumberFormat="1" applyFont="1" applyFill="1" applyBorder="1" applyAlignment="1">
      <alignment horizontal="center" vertical="center"/>
    </xf>
    <xf numFmtId="167" fontId="2" fillId="14" borderId="41" xfId="0" applyNumberFormat="1" applyFont="1" applyFill="1" applyBorder="1" applyAlignment="1">
      <alignment horizontal="center" vertical="center"/>
    </xf>
    <xf numFmtId="167" fontId="2" fillId="2" borderId="11" xfId="0" applyNumberFormat="1" applyFont="1" applyFill="1" applyBorder="1" applyAlignment="1">
      <alignment horizontal="center" vertical="center"/>
    </xf>
    <xf numFmtId="167" fontId="2" fillId="2" borderId="53" xfId="0" applyNumberFormat="1" applyFont="1" applyFill="1" applyBorder="1" applyAlignment="1">
      <alignment horizontal="center" vertical="center"/>
    </xf>
    <xf numFmtId="167" fontId="2" fillId="2" borderId="49" xfId="0" applyNumberFormat="1" applyFont="1" applyFill="1" applyBorder="1" applyAlignment="1">
      <alignment horizontal="center" vertical="center"/>
    </xf>
    <xf numFmtId="167" fontId="2" fillId="2" borderId="54" xfId="0" applyNumberFormat="1" applyFont="1" applyFill="1" applyBorder="1" applyAlignment="1">
      <alignment horizontal="center" vertical="center"/>
    </xf>
    <xf numFmtId="0" fontId="56" fillId="7" borderId="27" xfId="0" applyFont="1" applyFill="1" applyBorder="1" applyAlignment="1">
      <alignment horizontal="center" vertical="center" wrapText="1"/>
    </xf>
    <xf numFmtId="0" fontId="56" fillId="7" borderId="18" xfId="0" applyFont="1" applyFill="1" applyBorder="1" applyAlignment="1">
      <alignment horizontal="center" vertical="center" wrapText="1"/>
    </xf>
    <xf numFmtId="167" fontId="2" fillId="14" borderId="38" xfId="0" applyNumberFormat="1" applyFont="1" applyFill="1" applyBorder="1" applyAlignment="1">
      <alignment horizontal="center" vertical="center"/>
    </xf>
    <xf numFmtId="167" fontId="2" fillId="14" borderId="25" xfId="0" applyNumberFormat="1" applyFont="1" applyFill="1" applyBorder="1" applyAlignment="1">
      <alignment horizontal="center" vertical="center"/>
    </xf>
    <xf numFmtId="0" fontId="56" fillId="7" borderId="27" xfId="0" applyFont="1" applyFill="1" applyBorder="1" applyAlignment="1">
      <alignment horizontal="center" vertical="center"/>
    </xf>
    <xf numFmtId="0" fontId="56" fillId="7" borderId="18" xfId="0" applyFont="1" applyFill="1" applyBorder="1" applyAlignment="1">
      <alignment horizontal="center" vertical="center"/>
    </xf>
    <xf numFmtId="1" fontId="2" fillId="12" borderId="39" xfId="0" applyNumberFormat="1" applyFont="1" applyFill="1" applyBorder="1" applyAlignment="1">
      <alignment horizontal="center" vertical="center"/>
    </xf>
    <xf numFmtId="1" fontId="2" fillId="12" borderId="41" xfId="0" applyNumberFormat="1" applyFont="1" applyFill="1" applyBorder="1" applyAlignment="1">
      <alignment horizontal="center" vertical="center"/>
    </xf>
    <xf numFmtId="1" fontId="2" fillId="12" borderId="38" xfId="0" applyNumberFormat="1" applyFont="1" applyFill="1" applyBorder="1" applyAlignment="1">
      <alignment horizontal="center" vertical="center"/>
    </xf>
    <xf numFmtId="1" fontId="2" fillId="12" borderId="25" xfId="0" applyNumberFormat="1" applyFont="1" applyFill="1" applyBorder="1" applyAlignment="1">
      <alignment horizontal="center" vertical="center"/>
    </xf>
    <xf numFmtId="167" fontId="2" fillId="13" borderId="39" xfId="0" applyNumberFormat="1" applyFont="1" applyFill="1" applyBorder="1" applyAlignment="1">
      <alignment horizontal="center" vertical="center"/>
    </xf>
    <xf numFmtId="167" fontId="2" fillId="13" borderId="41" xfId="0" applyNumberFormat="1" applyFont="1" applyFill="1" applyBorder="1" applyAlignment="1">
      <alignment horizontal="center" vertical="center"/>
    </xf>
    <xf numFmtId="167" fontId="2" fillId="13" borderId="38" xfId="0" applyNumberFormat="1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2" fontId="2" fillId="13" borderId="38" xfId="0" applyNumberFormat="1" applyFont="1" applyFill="1" applyBorder="1" applyAlignment="1">
      <alignment horizontal="center" vertical="center"/>
    </xf>
    <xf numFmtId="2" fontId="2" fillId="13" borderId="25" xfId="0" applyNumberFormat="1" applyFont="1" applyFill="1" applyBorder="1" applyAlignment="1">
      <alignment horizontal="center" vertical="center"/>
    </xf>
    <xf numFmtId="167" fontId="2" fillId="13" borderId="25" xfId="0" applyNumberFormat="1" applyFont="1" applyFill="1" applyBorder="1" applyAlignment="1">
      <alignment horizontal="center" vertical="center"/>
    </xf>
    <xf numFmtId="167" fontId="2" fillId="11" borderId="39" xfId="0" applyNumberFormat="1" applyFont="1" applyFill="1" applyBorder="1" applyAlignment="1">
      <alignment horizontal="center" vertical="center"/>
    </xf>
    <xf numFmtId="167" fontId="2" fillId="11" borderId="41" xfId="0" applyNumberFormat="1" applyFont="1" applyFill="1" applyBorder="1" applyAlignment="1">
      <alignment horizontal="center" vertical="center"/>
    </xf>
    <xf numFmtId="167" fontId="2" fillId="12" borderId="38" xfId="0" applyNumberFormat="1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38" xfId="0" applyFont="1" applyFill="1" applyBorder="1" applyAlignment="1">
      <alignment horizontal="center" vertical="center"/>
    </xf>
    <xf numFmtId="167" fontId="2" fillId="12" borderId="25" xfId="0" applyNumberFormat="1" applyFont="1" applyFill="1" applyBorder="1" applyAlignment="1">
      <alignment horizontal="center" vertical="center"/>
    </xf>
    <xf numFmtId="167" fontId="2" fillId="12" borderId="39" xfId="0" applyNumberFormat="1" applyFont="1" applyFill="1" applyBorder="1" applyAlignment="1">
      <alignment horizontal="center" vertical="center"/>
    </xf>
    <xf numFmtId="167" fontId="2" fillId="12" borderId="41" xfId="0" applyNumberFormat="1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49" fontId="2" fillId="13" borderId="37" xfId="0" applyNumberFormat="1" applyFont="1" applyFill="1" applyBorder="1" applyAlignment="1">
      <alignment horizontal="center" vertical="center"/>
    </xf>
    <xf numFmtId="49" fontId="2" fillId="13" borderId="38" xfId="0" applyNumberFormat="1" applyFont="1" applyFill="1" applyBorder="1" applyAlignment="1">
      <alignment horizontal="center" vertical="center"/>
    </xf>
    <xf numFmtId="49" fontId="2" fillId="13" borderId="40" xfId="0" applyNumberFormat="1" applyFont="1" applyFill="1" applyBorder="1" applyAlignment="1">
      <alignment horizontal="center" vertical="center"/>
    </xf>
    <xf numFmtId="49" fontId="2" fillId="13" borderId="25" xfId="0" applyNumberFormat="1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167" fontId="2" fillId="11" borderId="38" xfId="0" applyNumberFormat="1" applyFont="1" applyFill="1" applyBorder="1" applyAlignment="1">
      <alignment horizontal="center" vertical="center"/>
    </xf>
    <xf numFmtId="167" fontId="2" fillId="11" borderId="25" xfId="0" applyNumberFormat="1" applyFont="1" applyFill="1" applyBorder="1" applyAlignment="1">
      <alignment horizontal="center" vertical="center"/>
    </xf>
    <xf numFmtId="1" fontId="2" fillId="13" borderId="38" xfId="0" applyNumberFormat="1" applyFont="1" applyFill="1" applyBorder="1" applyAlignment="1">
      <alignment horizontal="center" vertical="center"/>
    </xf>
    <xf numFmtId="1" fontId="2" fillId="13" borderId="25" xfId="0" applyNumberFormat="1" applyFont="1" applyFill="1" applyBorder="1" applyAlignment="1">
      <alignment horizontal="center" vertical="center"/>
    </xf>
    <xf numFmtId="1" fontId="2" fillId="11" borderId="38" xfId="0" applyNumberFormat="1" applyFont="1" applyFill="1" applyBorder="1" applyAlignment="1">
      <alignment horizontal="center" vertical="center"/>
    </xf>
    <xf numFmtId="1" fontId="2" fillId="11" borderId="25" xfId="0" applyNumberFormat="1" applyFont="1" applyFill="1" applyBorder="1" applyAlignment="1">
      <alignment horizontal="center" vertical="center"/>
    </xf>
    <xf numFmtId="49" fontId="2" fillId="14" borderId="37" xfId="0" applyNumberFormat="1" applyFont="1" applyFill="1" applyBorder="1" applyAlignment="1">
      <alignment horizontal="center" vertical="center"/>
    </xf>
    <xf numFmtId="49" fontId="2" fillId="14" borderId="40" xfId="0" applyNumberFormat="1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1" fontId="2" fillId="14" borderId="38" xfId="0" applyNumberFormat="1" applyFont="1" applyFill="1" applyBorder="1" applyAlignment="1">
      <alignment horizontal="center" vertical="center"/>
    </xf>
    <xf numFmtId="1" fontId="2" fillId="14" borderId="25" xfId="0" applyNumberFormat="1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1" fontId="2" fillId="13" borderId="39" xfId="0" applyNumberFormat="1" applyFont="1" applyFill="1" applyBorder="1" applyAlignment="1">
      <alignment horizontal="center" vertical="center"/>
    </xf>
    <xf numFmtId="1" fontId="2" fillId="13" borderId="41" xfId="0" applyNumberFormat="1" applyFont="1" applyFill="1" applyBorder="1" applyAlignment="1">
      <alignment horizontal="center" vertical="center"/>
    </xf>
    <xf numFmtId="0" fontId="2" fillId="11" borderId="37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39" xfId="0" applyFont="1" applyFill="1" applyBorder="1" applyAlignment="1">
      <alignment horizontal="center" vertical="center"/>
    </xf>
    <xf numFmtId="0" fontId="2" fillId="11" borderId="41" xfId="0" applyFont="1" applyFill="1" applyBorder="1" applyAlignment="1">
      <alignment horizontal="center" vertical="center"/>
    </xf>
    <xf numFmtId="2" fontId="2" fillId="14" borderId="38" xfId="0" applyNumberFormat="1" applyFont="1" applyFill="1" applyBorder="1" applyAlignment="1">
      <alignment horizontal="center" vertical="center"/>
    </xf>
    <xf numFmtId="2" fontId="2" fillId="14" borderId="25" xfId="0" applyNumberFormat="1" applyFont="1" applyFill="1" applyBorder="1" applyAlignment="1">
      <alignment horizontal="center" vertical="center"/>
    </xf>
    <xf numFmtId="2" fontId="2" fillId="14" borderId="35" xfId="0" applyNumberFormat="1" applyFont="1" applyFill="1" applyBorder="1" applyAlignment="1">
      <alignment horizontal="center" vertical="center"/>
    </xf>
    <xf numFmtId="2" fontId="2" fillId="14" borderId="39" xfId="0" applyNumberFormat="1" applyFont="1" applyFill="1" applyBorder="1" applyAlignment="1">
      <alignment horizontal="center" vertical="center"/>
    </xf>
    <xf numFmtId="2" fontId="2" fillId="14" borderId="41" xfId="0" applyNumberFormat="1" applyFont="1" applyFill="1" applyBorder="1" applyAlignment="1">
      <alignment horizontal="center" vertical="center"/>
    </xf>
    <xf numFmtId="2" fontId="2" fillId="14" borderId="43" xfId="0" applyNumberFormat="1" applyFont="1" applyFill="1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0" fontId="2" fillId="13" borderId="41" xfId="0" applyFont="1" applyFill="1" applyBorder="1" applyAlignment="1">
      <alignment horizontal="center" vertical="center"/>
    </xf>
    <xf numFmtId="167" fontId="2" fillId="13" borderId="37" xfId="0" applyNumberFormat="1" applyFont="1" applyFill="1" applyBorder="1" applyAlignment="1">
      <alignment horizontal="center" vertical="center"/>
    </xf>
    <xf numFmtId="167" fontId="2" fillId="13" borderId="40" xfId="0" applyNumberFormat="1" applyFont="1" applyFill="1" applyBorder="1" applyAlignment="1">
      <alignment horizontal="center" vertical="center"/>
    </xf>
    <xf numFmtId="167" fontId="2" fillId="13" borderId="44" xfId="0" applyNumberFormat="1" applyFont="1" applyFill="1" applyBorder="1" applyAlignment="1">
      <alignment horizontal="center" vertical="center"/>
    </xf>
    <xf numFmtId="167" fontId="2" fillId="13" borderId="45" xfId="0" applyNumberFormat="1" applyFont="1" applyFill="1" applyBorder="1" applyAlignment="1">
      <alignment horizontal="center" vertical="center"/>
    </xf>
    <xf numFmtId="167" fontId="2" fillId="14" borderId="44" xfId="0" applyNumberFormat="1" applyFont="1" applyFill="1" applyBorder="1" applyAlignment="1">
      <alignment horizontal="center" vertical="center"/>
    </xf>
    <xf numFmtId="167" fontId="2" fillId="14" borderId="45" xfId="0" applyNumberFormat="1" applyFont="1" applyFill="1" applyBorder="1" applyAlignment="1">
      <alignment horizontal="center" vertical="center"/>
    </xf>
    <xf numFmtId="49" fontId="2" fillId="14" borderId="42" xfId="0" applyNumberFormat="1" applyFont="1" applyFill="1" applyBorder="1" applyAlignment="1">
      <alignment horizontal="center" vertical="center"/>
    </xf>
    <xf numFmtId="0" fontId="2" fillId="14" borderId="35" xfId="0" applyFont="1" applyFill="1" applyBorder="1" applyAlignment="1">
      <alignment horizontal="center" vertical="center"/>
    </xf>
    <xf numFmtId="1" fontId="2" fillId="14" borderId="35" xfId="0" applyNumberFormat="1" applyFont="1" applyFill="1" applyBorder="1" applyAlignment="1">
      <alignment horizontal="center" vertical="center"/>
    </xf>
    <xf numFmtId="2" fontId="2" fillId="14" borderId="44" xfId="0" applyNumberFormat="1" applyFont="1" applyFill="1" applyBorder="1" applyAlignment="1">
      <alignment horizontal="center" vertical="center"/>
    </xf>
    <xf numFmtId="2" fontId="2" fillId="14" borderId="45" xfId="0" applyNumberFormat="1" applyFont="1" applyFill="1" applyBorder="1" applyAlignment="1">
      <alignment horizontal="center" vertical="center"/>
    </xf>
    <xf numFmtId="2" fontId="2" fillId="14" borderId="46" xfId="0" applyNumberFormat="1" applyFont="1" applyFill="1" applyBorder="1" applyAlignment="1">
      <alignment horizontal="center" vertical="center"/>
    </xf>
    <xf numFmtId="1" fontId="31" fillId="2" borderId="22" xfId="0" applyNumberFormat="1" applyFont="1" applyFill="1" applyBorder="1" applyAlignment="1">
      <alignment horizontal="center"/>
    </xf>
    <xf numFmtId="1" fontId="31" fillId="2" borderId="25" xfId="0" applyNumberFormat="1" applyFont="1" applyFill="1" applyBorder="1" applyAlignment="1">
      <alignment horizontal="center"/>
    </xf>
    <xf numFmtId="1" fontId="31" fillId="2" borderId="13" xfId="0" applyNumberFormat="1" applyFont="1" applyFill="1" applyBorder="1" applyAlignment="1">
      <alignment horizontal="center"/>
    </xf>
    <xf numFmtId="0" fontId="2" fillId="15" borderId="42" xfId="0" applyFont="1" applyFill="1" applyBorder="1" applyAlignment="1"/>
    <xf numFmtId="0" fontId="2" fillId="15" borderId="35" xfId="0" applyFont="1" applyFill="1" applyBorder="1" applyAlignment="1"/>
    <xf numFmtId="1" fontId="2" fillId="15" borderId="35" xfId="0" applyNumberFormat="1" applyFont="1" applyFill="1" applyBorder="1" applyAlignment="1"/>
    <xf numFmtId="167" fontId="2" fillId="15" borderId="35" xfId="0" applyNumberFormat="1" applyFont="1" applyFill="1" applyBorder="1" applyAlignment="1"/>
    <xf numFmtId="167" fontId="2" fillId="15" borderId="43" xfId="0" applyNumberFormat="1" applyFont="1" applyFill="1" applyBorder="1" applyAlignment="1"/>
    <xf numFmtId="167" fontId="2" fillId="15" borderId="46" xfId="0" applyNumberFormat="1" applyFont="1" applyFill="1" applyBorder="1" applyAlignment="1"/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690FF"/>
      <color rgb="FFFFC6C2"/>
      <color rgb="FF0A9E1C"/>
      <color rgb="FFCC00CC"/>
      <color rgb="FFED7D31"/>
      <color rgb="FF360000"/>
      <color rgb="FF003D09"/>
      <color rgb="FF096B23"/>
      <color rgb="FF2B0000"/>
      <color rgb="FF7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spPr>
            <a:ln w="34925" cap="rnd">
              <a:solidFill>
                <a:schemeClr val="accent2">
                  <a:lumMod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Coins!$H$11:$H$18</c:f>
              <c:numCache>
                <c:formatCode>_-[$$-80A]* #,##0.00_-;\-[$$-80A]* #,##0.00_-;_-[$$-80A]* "-"??_-;_-@_-</c:formatCode>
                <c:ptCount val="8"/>
                <c:pt idx="0" formatCode="_-&quot;$&quot;* #,##0.00_-;\-&quot;$&quot;* #,##0.00_-;_-&quot;$&quot;* &quot;-&quot;??_-;_-@_-">
                  <c:v>30.009999999999309</c:v>
                </c:pt>
                <c:pt idx="1">
                  <c:v>977.98999999999887</c:v>
                </c:pt>
                <c:pt idx="2">
                  <c:v>898.98999999999887</c:v>
                </c:pt>
                <c:pt idx="3">
                  <c:v>898.98999999999887</c:v>
                </c:pt>
                <c:pt idx="4">
                  <c:v>898.98999999999887</c:v>
                </c:pt>
                <c:pt idx="5">
                  <c:v>898.98999999999887</c:v>
                </c:pt>
                <c:pt idx="6">
                  <c:v>898.98999999999887</c:v>
                </c:pt>
                <c:pt idx="7">
                  <c:v>898.98999999999887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C6-4BC9-8410-1377C1F48C07}"/>
            </c:ext>
          </c:extLst>
        </c:ser>
        <c:ser>
          <c:idx val="6"/>
          <c:order val="1"/>
          <c:tx>
            <c:strRef>
              <c:f>Presupuesto!$J$8:$J$15</c:f>
              <c:strCache>
                <c:ptCount val="8"/>
                <c:pt idx="0">
                  <c:v>30,01</c:v>
                </c:pt>
                <c:pt idx="1">
                  <c:v> $1.234,99 </c:v>
                </c:pt>
                <c:pt idx="2">
                  <c:v> $549,99 </c:v>
                </c:pt>
                <c:pt idx="3">
                  <c:v> $549,99 </c:v>
                </c:pt>
                <c:pt idx="4">
                  <c:v> $479,99 </c:v>
                </c:pt>
                <c:pt idx="5">
                  <c:v> $409,99 </c:v>
                </c:pt>
                <c:pt idx="6">
                  <c:v> $339,99 </c:v>
                </c:pt>
                <c:pt idx="7">
                  <c:v> $254,99 </c:v>
                </c:pt>
              </c:strCache>
            </c:strRef>
          </c:tx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Presupuesto!$J$8:$J$15</c:f>
              <c:numCache>
                <c:formatCode>_-"$"* #,##0.00_-;\-"$"* #,##0.00_-;_-"$"* "-"??_-;_-@_-</c:formatCode>
                <c:ptCount val="8"/>
                <c:pt idx="0" formatCode="General">
                  <c:v>30.009999999999309</c:v>
                </c:pt>
                <c:pt idx="1">
                  <c:v>1234.9899999999989</c:v>
                </c:pt>
                <c:pt idx="2">
                  <c:v>549.98999999999887</c:v>
                </c:pt>
                <c:pt idx="3">
                  <c:v>549.98999999999887</c:v>
                </c:pt>
                <c:pt idx="4">
                  <c:v>479.98999999999887</c:v>
                </c:pt>
                <c:pt idx="5">
                  <c:v>409.98999999999887</c:v>
                </c:pt>
                <c:pt idx="6">
                  <c:v>339.98999999999887</c:v>
                </c:pt>
                <c:pt idx="7">
                  <c:v>254.98999999999887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C6-4BC9-8410-1377C1F48C07}"/>
            </c:ext>
          </c:extLst>
        </c:ser>
        <c:ser>
          <c:idx val="7"/>
          <c:order val="2"/>
          <c:tx>
            <c:strRef>
              <c:f>Coins!$K$11:$K$18</c:f>
              <c:strCache>
                <c:ptCount val="8"/>
                <c:pt idx="0">
                  <c:v> $2.119,94 </c:v>
                </c:pt>
                <c:pt idx="1">
                  <c:v> $1.286,93 </c:v>
                </c:pt>
                <c:pt idx="2">
                  <c:v> $1.207,93 </c:v>
                </c:pt>
                <c:pt idx="3">
                  <c:v> $1.207,93 </c:v>
                </c:pt>
                <c:pt idx="4">
                  <c:v> $1.207,93 </c:v>
                </c:pt>
                <c:pt idx="5">
                  <c:v> $1.591,93 </c:v>
                </c:pt>
                <c:pt idx="6">
                  <c:v> $1.591,93 </c:v>
                </c:pt>
                <c:pt idx="7">
                  <c:v> $1.591,93 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Coins!$K$11:$K$18</c:f>
              <c:numCache>
                <c:formatCode>_-"$"* #,##0.00_-;\-"$"* #,##0.00_-;_-"$"* "-"??_-;_-@_-</c:formatCode>
                <c:ptCount val="8"/>
                <c:pt idx="0">
                  <c:v>2119.9399999999991</c:v>
                </c:pt>
                <c:pt idx="1">
                  <c:v>1286.9299999999989</c:v>
                </c:pt>
                <c:pt idx="2">
                  <c:v>1207.9299999999989</c:v>
                </c:pt>
                <c:pt idx="3">
                  <c:v>1207.9299999999989</c:v>
                </c:pt>
                <c:pt idx="4">
                  <c:v>1207.9299999999989</c:v>
                </c:pt>
                <c:pt idx="5">
                  <c:v>1591.9299999999989</c:v>
                </c:pt>
                <c:pt idx="6">
                  <c:v>1591.9299999999989</c:v>
                </c:pt>
                <c:pt idx="7">
                  <c:v>1591.9299999999989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C6-4BC9-8410-1377C1F48C07}"/>
            </c:ext>
          </c:extLst>
        </c:ser>
        <c:ser>
          <c:idx val="9"/>
          <c:order val="3"/>
          <c:tx>
            <c:strRef>
              <c:f>Coins!$M$11:$M$18</c:f>
              <c:strCache>
                <c:ptCount val="8"/>
                <c:pt idx="0">
                  <c:v> $-   </c:v>
                </c:pt>
                <c:pt idx="1">
                  <c:v> $-   </c:v>
                </c:pt>
                <c:pt idx="2">
                  <c:v> $-   </c:v>
                </c:pt>
                <c:pt idx="3">
                  <c:v> $-   </c:v>
                </c:pt>
                <c:pt idx="4">
                  <c:v> $-   </c:v>
                </c:pt>
                <c:pt idx="5">
                  <c:v> $-   </c:v>
                </c:pt>
                <c:pt idx="6">
                  <c:v> $-   </c:v>
                </c:pt>
                <c:pt idx="7">
                  <c:v> $-   </c:v>
                </c:pt>
              </c:strCache>
            </c:strRef>
          </c:tx>
          <c:spPr>
            <a:ln w="34925" cap="rnd">
              <a:solidFill>
                <a:srgbClr val="00B05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Coins!$M$11:$M$18</c:f>
              <c:numCache>
                <c:formatCode>_-[$$-80A]* #,##0.00_-;\-[$$-80A]* #,##0.00_-;_-[$$-80A]*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C6-4BC9-8410-1377C1F48C07}"/>
            </c:ext>
          </c:extLst>
        </c:ser>
        <c:ser>
          <c:idx val="0"/>
          <c:order val="4"/>
          <c:spPr>
            <a:ln w="34925" cap="rnd">
              <a:solidFill>
                <a:srgbClr val="C65911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Coins!$H$11:$H$18</c:f>
              <c:numCache>
                <c:formatCode>_-[$$-80A]* #,##0.00_-;\-[$$-80A]* #,##0.00_-;_-[$$-80A]* "-"??_-;_-@_-</c:formatCode>
                <c:ptCount val="8"/>
                <c:pt idx="0" formatCode="_-&quot;$&quot;* #,##0.00_-;\-&quot;$&quot;* #,##0.00_-;_-&quot;$&quot;* &quot;-&quot;??_-;_-@_-">
                  <c:v>30.009999999999309</c:v>
                </c:pt>
                <c:pt idx="1">
                  <c:v>977.98999999999887</c:v>
                </c:pt>
                <c:pt idx="2">
                  <c:v>898.98999999999887</c:v>
                </c:pt>
                <c:pt idx="3">
                  <c:v>898.98999999999887</c:v>
                </c:pt>
                <c:pt idx="4">
                  <c:v>898.98999999999887</c:v>
                </c:pt>
                <c:pt idx="5">
                  <c:v>898.98999999999887</c:v>
                </c:pt>
                <c:pt idx="6">
                  <c:v>898.98999999999887</c:v>
                </c:pt>
                <c:pt idx="7">
                  <c:v>898.98999999999887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0DC6-4BC9-8410-1377C1F48C07}"/>
            </c:ext>
          </c:extLst>
        </c:ser>
        <c:ser>
          <c:idx val="1"/>
          <c:order val="5"/>
          <c:tx>
            <c:strRef>
              <c:f>Presupuesto!$J$8:$J$15</c:f>
              <c:strCache>
                <c:ptCount val="8"/>
                <c:pt idx="0">
                  <c:v>30,01</c:v>
                </c:pt>
                <c:pt idx="1">
                  <c:v> $1.234,99 </c:v>
                </c:pt>
                <c:pt idx="2">
                  <c:v> $549,99 </c:v>
                </c:pt>
                <c:pt idx="3">
                  <c:v> $549,99 </c:v>
                </c:pt>
                <c:pt idx="4">
                  <c:v> $479,99 </c:v>
                </c:pt>
                <c:pt idx="5">
                  <c:v> $409,99 </c:v>
                </c:pt>
                <c:pt idx="6">
                  <c:v> $339,99 </c:v>
                </c:pt>
                <c:pt idx="7">
                  <c:v> $254,99 </c:v>
                </c:pt>
              </c:strCache>
            </c:strRef>
          </c:tx>
          <c:spPr>
            <a:ln w="34925" cap="rnd">
              <a:solidFill>
                <a:srgbClr val="305496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rgbClr val="4472C4"/>
                </a:solidFill>
                <a:prstDash val="solid"/>
                <a:round/>
              </a:ln>
              <a:effectLst/>
            </c:spPr>
          </c:errBars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Presupuesto!$J$8:$J$15</c:f>
              <c:numCache>
                <c:formatCode>_-"$"* #,##0.00_-;\-"$"* #,##0.00_-;_-"$"* "-"??_-;_-@_-</c:formatCode>
                <c:ptCount val="8"/>
                <c:pt idx="0" formatCode="General">
                  <c:v>30.009999999999309</c:v>
                </c:pt>
                <c:pt idx="1">
                  <c:v>1234.9899999999989</c:v>
                </c:pt>
                <c:pt idx="2">
                  <c:v>549.98999999999887</c:v>
                </c:pt>
                <c:pt idx="3">
                  <c:v>549.98999999999887</c:v>
                </c:pt>
                <c:pt idx="4">
                  <c:v>479.98999999999887</c:v>
                </c:pt>
                <c:pt idx="5">
                  <c:v>409.98999999999887</c:v>
                </c:pt>
                <c:pt idx="6">
                  <c:v>339.98999999999887</c:v>
                </c:pt>
                <c:pt idx="7">
                  <c:v>254.98999999999887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0DC6-4BC9-8410-1377C1F48C07}"/>
            </c:ext>
          </c:extLst>
        </c:ser>
        <c:ser>
          <c:idx val="2"/>
          <c:order val="6"/>
          <c:tx>
            <c:strRef>
              <c:f>Coins!$K$11:$K$18</c:f>
              <c:strCache>
                <c:ptCount val="8"/>
                <c:pt idx="0">
                  <c:v> $2.119,94 </c:v>
                </c:pt>
                <c:pt idx="1">
                  <c:v> $1.286,93 </c:v>
                </c:pt>
                <c:pt idx="2">
                  <c:v> $1.207,93 </c:v>
                </c:pt>
                <c:pt idx="3">
                  <c:v> $1.207,93 </c:v>
                </c:pt>
                <c:pt idx="4">
                  <c:v> $1.207,93 </c:v>
                </c:pt>
                <c:pt idx="5">
                  <c:v> $1.591,93 </c:v>
                </c:pt>
                <c:pt idx="6">
                  <c:v> $1.591,93 </c:v>
                </c:pt>
                <c:pt idx="7">
                  <c:v> $1.591,93 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8"/>
              <c:pt idx="0">
                <c:v>Bef</c:v>
              </c:pt>
              <c:pt idx="1">
                <c:v>Mon</c:v>
              </c:pt>
              <c:pt idx="2">
                <c:v>Tues</c:v>
              </c:pt>
              <c:pt idx="3">
                <c:v>Wed</c:v>
              </c:pt>
              <c:pt idx="4">
                <c:v>Thur</c:v>
              </c:pt>
              <c:pt idx="5">
                <c:v>Fri</c:v>
              </c:pt>
              <c:pt idx="6">
                <c:v>Sat</c:v>
              </c:pt>
              <c:pt idx="7">
                <c:v>Sun</c:v>
              </c:pt>
            </c:strLit>
          </c:cat>
          <c:val>
            <c:numRef>
              <c:f>Coins!$K$11:$K$18</c:f>
              <c:numCache>
                <c:formatCode>_-"$"* #,##0.00_-;\-"$"* #,##0.00_-;_-"$"* "-"??_-;_-@_-</c:formatCode>
                <c:ptCount val="8"/>
                <c:pt idx="0">
                  <c:v>2119.9399999999991</c:v>
                </c:pt>
                <c:pt idx="1">
                  <c:v>1286.9299999999989</c:v>
                </c:pt>
                <c:pt idx="2">
                  <c:v>1207.9299999999989</c:v>
                </c:pt>
                <c:pt idx="3">
                  <c:v>1207.9299999999989</c:v>
                </c:pt>
                <c:pt idx="4">
                  <c:v>1207.9299999999989</c:v>
                </c:pt>
                <c:pt idx="5">
                  <c:v>1591.9299999999989</c:v>
                </c:pt>
                <c:pt idx="6">
                  <c:v>1591.9299999999989</c:v>
                </c:pt>
                <c:pt idx="7">
                  <c:v>1591.9299999999989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6-0DC6-4BC9-8410-1377C1F48C07}"/>
            </c:ext>
          </c:extLst>
        </c:ser>
        <c:ser>
          <c:idx val="4"/>
          <c:order val="7"/>
          <c:tx>
            <c:strRef>
              <c:f>Coins!$M$11:$M$18</c:f>
              <c:strCache>
                <c:ptCount val="8"/>
                <c:pt idx="0">
                  <c:v> $-   </c:v>
                </c:pt>
                <c:pt idx="1">
                  <c:v> $-   </c:v>
                </c:pt>
                <c:pt idx="2">
                  <c:v> $-   </c:v>
                </c:pt>
                <c:pt idx="3">
                  <c:v> $-   </c:v>
                </c:pt>
                <c:pt idx="4">
                  <c:v> $-   </c:v>
                </c:pt>
                <c:pt idx="5">
                  <c:v> $-   </c:v>
                </c:pt>
                <c:pt idx="6">
                  <c:v> $-   </c:v>
                </c:pt>
                <c:pt idx="7">
                  <c:v> $-   </c:v>
                </c:pt>
              </c:strCache>
            </c:strRef>
          </c:tx>
          <c:spPr>
            <a:ln w="34925" cap="rnd">
              <a:solidFill>
                <a:srgbClr val="00B05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Coins!$M$11:$M$18</c:f>
              <c:numCache>
                <c:formatCode>_-[$$-80A]* #,##0.00_-;\-[$$-80A]* #,##0.00_-;_-[$$-80A]*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C6-4BC9-8410-1377C1F48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448352"/>
        <c:axId val="2085456256"/>
      </c:lineChart>
      <c:catAx>
        <c:axId val="20854483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56256"/>
        <c:crosses val="autoZero"/>
        <c:auto val="1"/>
        <c:lblAlgn val="ctr"/>
        <c:lblOffset val="100"/>
        <c:noMultiLvlLbl val="0"/>
      </c:catAx>
      <c:valAx>
        <c:axId val="2085456256"/>
        <c:scaling>
          <c:orientation val="minMax"/>
        </c:scaling>
        <c:delete val="1"/>
        <c:axPos val="l"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2085448352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0"/>
          <c:order val="0"/>
          <c:spPr>
            <a:ln w="349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Presupuesto!$J$8:$J$15</c:f>
              <c:numCache>
                <c:formatCode>_-"$"* #,##0.00_-;\-"$"* #,##0.00_-;_-"$"* "-"??_-;_-@_-</c:formatCode>
                <c:ptCount val="8"/>
                <c:pt idx="0" formatCode="General">
                  <c:v>30.009999999999309</c:v>
                </c:pt>
                <c:pt idx="1">
                  <c:v>1234.9899999999989</c:v>
                </c:pt>
                <c:pt idx="2">
                  <c:v>549.98999999999887</c:v>
                </c:pt>
                <c:pt idx="3">
                  <c:v>549.98999999999887</c:v>
                </c:pt>
                <c:pt idx="4">
                  <c:v>479.98999999999887</c:v>
                </c:pt>
                <c:pt idx="5">
                  <c:v>409.98999999999887</c:v>
                </c:pt>
                <c:pt idx="6">
                  <c:v>339.98999999999887</c:v>
                </c:pt>
                <c:pt idx="7">
                  <c:v>254.98999999999887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E6F-4EE8-B9A9-4E2813C72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448352"/>
        <c:axId val="2085456256"/>
        <c:extLst>
          <c:ext xmlns:c15="http://schemas.microsoft.com/office/drawing/2012/chart" uri="{02D57815-91ED-43cb-92C2-25804820EDAC}">
            <c15:filteredLineSeries>
              <c15:ser>
                <c:idx val="5"/>
                <c:order val="1"/>
                <c:spPr>
                  <a:ln w="3492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Lit>
                    <c:ptCount val="8"/>
                    <c:pt idx="0">
                      <c:v>Bef</c:v>
                    </c:pt>
                    <c:pt idx="1">
                      <c:v>Mon</c:v>
                    </c:pt>
                    <c:pt idx="2">
                      <c:v>Tues</c:v>
                    </c:pt>
                    <c:pt idx="3">
                      <c:v>Wed</c:v>
                    </c:pt>
                    <c:pt idx="4">
                      <c:v>Thur</c:v>
                    </c:pt>
                    <c:pt idx="5">
                      <c:v>Fri</c:v>
                    </c:pt>
                    <c:pt idx="6">
                      <c:v>Sat</c:v>
                    </c:pt>
                    <c:pt idx="7">
                      <c:v>Sun</c:v>
                    </c:p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Coins!$H$11:$H$18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 formatCode="_-&quot;$&quot;* #,##0.00_-;\-&quot;$&quot;* #,##0.00_-;_-&quot;$&quot;* &quot;-&quot;??_-;_-@_-">
                        <c:v>30.009999999999309</c:v>
                      </c:pt>
                      <c:pt idx="1">
                        <c:v>977.98999999999887</c:v>
                      </c:pt>
                      <c:pt idx="2">
                        <c:v>898.98999999999887</c:v>
                      </c:pt>
                      <c:pt idx="3">
                        <c:v>898.98999999999887</c:v>
                      </c:pt>
                      <c:pt idx="4">
                        <c:v>898.98999999999887</c:v>
                      </c:pt>
                      <c:pt idx="5">
                        <c:v>898.98999999999887</c:v>
                      </c:pt>
                      <c:pt idx="6">
                        <c:v>898.98999999999887</c:v>
                      </c:pt>
                      <c:pt idx="7">
                        <c:v>898.98999999999887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E6F-4EE8-B9A9-4E2813C729CD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Presupuesto!$J$8:$J$15</c15:sqref>
                        </c15:formulaRef>
                      </c:ext>
                    </c:extLst>
                    <c:strCache>
                      <c:ptCount val="8"/>
                      <c:pt idx="0">
                        <c:v>30,01</c:v>
                      </c:pt>
                      <c:pt idx="1">
                        <c:v> $1.234,99 </c:v>
                      </c:pt>
                      <c:pt idx="2">
                        <c:v> $549,99 </c:v>
                      </c:pt>
                      <c:pt idx="3">
                        <c:v> $549,99 </c:v>
                      </c:pt>
                      <c:pt idx="4">
                        <c:v> $479,99 </c:v>
                      </c:pt>
                      <c:pt idx="5">
                        <c:v> $409,99 </c:v>
                      </c:pt>
                      <c:pt idx="6">
                        <c:v> $339,99 </c:v>
                      </c:pt>
                      <c:pt idx="7">
                        <c:v> $254,99 </c:v>
                      </c:pt>
                    </c:strCache>
                  </c:strRef>
                </c:tx>
                <c:spPr>
                  <a:ln w="34925" cap="rnd">
                    <a:solidFill>
                      <a:srgbClr val="00206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Lit>
                    <c:ptCount val="8"/>
                    <c:pt idx="0">
                      <c:v>Bef</c:v>
                    </c:pt>
                    <c:pt idx="1">
                      <c:v>Mon</c:v>
                    </c:pt>
                    <c:pt idx="2">
                      <c:v>Tues</c:v>
                    </c:pt>
                    <c:pt idx="3">
                      <c:v>Wed</c:v>
                    </c:pt>
                    <c:pt idx="4">
                      <c:v>Thur</c:v>
                    </c:pt>
                    <c:pt idx="5">
                      <c:v>Fri</c:v>
                    </c:pt>
                    <c:pt idx="6">
                      <c:v>Sat</c:v>
                    </c:pt>
                    <c:pt idx="7">
                      <c:v>Sun</c:v>
                    </c:pt>
                  </c:strLit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Presupuesto!$J$8:$J$15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8"/>
                      <c:pt idx="0" formatCode="General">
                        <c:v>30.009999999999309</c:v>
                      </c:pt>
                      <c:pt idx="1">
                        <c:v>1234.9899999999989</c:v>
                      </c:pt>
                      <c:pt idx="2">
                        <c:v>549.98999999999887</c:v>
                      </c:pt>
                      <c:pt idx="3">
                        <c:v>549.98999999999887</c:v>
                      </c:pt>
                      <c:pt idx="4">
                        <c:v>479.98999999999887</c:v>
                      </c:pt>
                      <c:pt idx="5">
                        <c:v>409.98999999999887</c:v>
                      </c:pt>
                      <c:pt idx="6">
                        <c:v>339.98999999999887</c:v>
                      </c:pt>
                      <c:pt idx="7">
                        <c:v>254.98999999999887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6F-4EE8-B9A9-4E2813C729CD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Coins!$K$11:$K$18</c15:sqref>
                        </c15:formulaRef>
                      </c:ext>
                    </c:extLst>
                    <c:strCache>
                      <c:ptCount val="8"/>
                      <c:pt idx="0">
                        <c:v> $2.119,94 </c:v>
                      </c:pt>
                      <c:pt idx="1">
                        <c:v> $1.286,93 </c:v>
                      </c:pt>
                      <c:pt idx="2">
                        <c:v> $1.207,93 </c:v>
                      </c:pt>
                      <c:pt idx="3">
                        <c:v> $1.207,93 </c:v>
                      </c:pt>
                      <c:pt idx="4">
                        <c:v> $1.207,93 </c:v>
                      </c:pt>
                      <c:pt idx="5">
                        <c:v> $1.591,93 </c:v>
                      </c:pt>
                      <c:pt idx="6">
                        <c:v> $1.591,93 </c:v>
                      </c:pt>
                      <c:pt idx="7">
                        <c:v> $1.591,93 </c:v>
                      </c:pt>
                    </c:strCache>
                  </c:strRef>
                </c:tx>
                <c:spPr>
                  <a:ln w="34925" cap="rnd">
                    <a:solidFill>
                      <a:srgbClr val="C000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Lit>
                    <c:ptCount val="8"/>
                    <c:pt idx="0">
                      <c:v>Bef</c:v>
                    </c:pt>
                    <c:pt idx="1">
                      <c:v>Mon</c:v>
                    </c:pt>
                    <c:pt idx="2">
                      <c:v>Tues</c:v>
                    </c:pt>
                    <c:pt idx="3">
                      <c:v>Wed</c:v>
                    </c:pt>
                    <c:pt idx="4">
                      <c:v>Thur</c:v>
                    </c:pt>
                    <c:pt idx="5">
                      <c:v>Fri</c:v>
                    </c:pt>
                    <c:pt idx="6">
                      <c:v>Sat</c:v>
                    </c:pt>
                    <c:pt idx="7">
                      <c:v>Sun</c:v>
                    </c:pt>
                  </c:strLit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Coins!$K$11:$K$18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8"/>
                      <c:pt idx="0">
                        <c:v>2119.9399999999991</c:v>
                      </c:pt>
                      <c:pt idx="1">
                        <c:v>1286.9299999999989</c:v>
                      </c:pt>
                      <c:pt idx="2">
                        <c:v>1207.9299999999989</c:v>
                      </c:pt>
                      <c:pt idx="3">
                        <c:v>1207.9299999999989</c:v>
                      </c:pt>
                      <c:pt idx="4">
                        <c:v>1207.9299999999989</c:v>
                      </c:pt>
                      <c:pt idx="5">
                        <c:v>1591.9299999999989</c:v>
                      </c:pt>
                      <c:pt idx="6">
                        <c:v>1591.9299999999989</c:v>
                      </c:pt>
                      <c:pt idx="7">
                        <c:v>1591.9299999999989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E6F-4EE8-B9A9-4E2813C729CD}"/>
                  </c:ext>
                </c:extLst>
              </c15:ser>
            </c15:filteredLineSeries>
            <c15:filteredLineSeries>
              <c15:ser>
                <c:idx val="8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Coins!$J$11:$J$18</c15:sqref>
                        </c15:formulaRef>
                      </c:ext>
                    </c:extLst>
                    <c:strCache>
                      <c:ptCount val="8"/>
                      <c:pt idx="0">
                        <c:v> $2.084,99 </c:v>
                      </c:pt>
                      <c:pt idx="1">
                        <c:v> $-   </c:v>
                      </c:pt>
                      <c:pt idx="2">
                        <c:v> $-   </c:v>
                      </c:pt>
                      <c:pt idx="3">
                        <c:v> $-   </c:v>
                      </c:pt>
                      <c:pt idx="4">
                        <c:v> $-   </c:v>
                      </c:pt>
                      <c:pt idx="5">
                        <c:v> $384,00 </c:v>
                      </c:pt>
                      <c:pt idx="6">
                        <c:v> $384,00 </c:v>
                      </c:pt>
                      <c:pt idx="7">
                        <c:v> $384,00 </c:v>
                      </c:pt>
                    </c:strCache>
                  </c:strRef>
                </c:tx>
                <c:spPr>
                  <a:ln w="34925" cap="rnd">
                    <a:solidFill>
                      <a:srgbClr val="FFFF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Coins!$J$11:$J$18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 formatCode="_-&quot;$&quot;* #,##0.00_-;\-&quot;$&quot;* #,##0.00_-;_-&quot;$&quot;* &quot;-&quot;??_-;_-@_-">
                        <c:v>2084.9899999999998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384</c:v>
                      </c:pt>
                      <c:pt idx="6">
                        <c:v>384</c:v>
                      </c:pt>
                      <c:pt idx="7">
                        <c:v>384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E6F-4EE8-B9A9-4E2813C729CD}"/>
                  </c:ext>
                </c:extLst>
              </c15:ser>
            </c15:filteredLineSeries>
            <c15:filteredLineSeries>
              <c15:ser>
                <c:idx val="9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Coins!$M$11:$M$18</c15:sqref>
                        </c15:formulaRef>
                      </c:ext>
                    </c:extLst>
                    <c:strCache>
                      <c:ptCount val="8"/>
                      <c:pt idx="0">
                        <c:v> $-   </c:v>
                      </c:pt>
                      <c:pt idx="1">
                        <c:v> $-   </c:v>
                      </c:pt>
                      <c:pt idx="2">
                        <c:v> $-   </c:v>
                      </c:pt>
                      <c:pt idx="3">
                        <c:v> $-   </c:v>
                      </c:pt>
                      <c:pt idx="4">
                        <c:v> $-   </c:v>
                      </c:pt>
                      <c:pt idx="5">
                        <c:v> $-   </c:v>
                      </c:pt>
                      <c:pt idx="6">
                        <c:v> $-   </c:v>
                      </c:pt>
                      <c:pt idx="7">
                        <c:v> $-   </c:v>
                      </c:pt>
                    </c:strCache>
                  </c:strRef>
                </c:tx>
                <c:spPr>
                  <a:ln w="34925" cap="rnd">
                    <a:solidFill>
                      <a:srgbClr val="0A9E1C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Coins!$M$11:$M$18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6F-4EE8-B9A9-4E2813C729CD}"/>
                  </c:ext>
                </c:extLst>
              </c15:ser>
            </c15:filteredLineSeries>
            <c15:filteredLineSeries>
              <c15:ser>
                <c:idx val="0"/>
                <c:order val="6"/>
                <c:spPr>
                  <a:ln w="3492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Lit>
                    <c:ptCount val="8"/>
                    <c:pt idx="0">
                      <c:v>Bef</c:v>
                    </c:pt>
                    <c:pt idx="1">
                      <c:v>Mon</c:v>
                    </c:pt>
                    <c:pt idx="2">
                      <c:v>Tues</c:v>
                    </c:pt>
                    <c:pt idx="3">
                      <c:v>Wed</c:v>
                    </c:pt>
                    <c:pt idx="4">
                      <c:v>Thur</c:v>
                    </c:pt>
                    <c:pt idx="5">
                      <c:v>Fri</c:v>
                    </c:pt>
                    <c:pt idx="6">
                      <c:v>Sat</c:v>
                    </c:pt>
                    <c:pt idx="7">
                      <c:v>Sun</c:v>
                    </c:pt>
                  </c:strLit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Coins!$H$11:$H$18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 formatCode="_-&quot;$&quot;* #,##0.00_-;\-&quot;$&quot;* #,##0.00_-;_-&quot;$&quot;* &quot;-&quot;??_-;_-@_-">
                        <c:v>30.009999999999309</c:v>
                      </c:pt>
                      <c:pt idx="1">
                        <c:v>977.98999999999887</c:v>
                      </c:pt>
                      <c:pt idx="2">
                        <c:v>898.98999999999887</c:v>
                      </c:pt>
                      <c:pt idx="3">
                        <c:v>898.98999999999887</c:v>
                      </c:pt>
                      <c:pt idx="4">
                        <c:v>898.98999999999887</c:v>
                      </c:pt>
                      <c:pt idx="5">
                        <c:v>898.98999999999887</c:v>
                      </c:pt>
                      <c:pt idx="6">
                        <c:v>898.98999999999887</c:v>
                      </c:pt>
                      <c:pt idx="7">
                        <c:v>898.98999999999887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E6F-4EE8-B9A9-4E2813C729CD}"/>
                  </c:ext>
                </c:extLst>
              </c15:ser>
            </c15:filteredLineSeries>
            <c15:filteredLine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Presupuesto!$J$8:$J$15</c15:sqref>
                        </c15:formulaRef>
                      </c:ext>
                    </c:extLst>
                    <c:strCache>
                      <c:ptCount val="8"/>
                      <c:pt idx="0">
                        <c:v>30,01</c:v>
                      </c:pt>
                      <c:pt idx="1">
                        <c:v> $1.234,99 </c:v>
                      </c:pt>
                      <c:pt idx="2">
                        <c:v> $549,99 </c:v>
                      </c:pt>
                      <c:pt idx="3">
                        <c:v> $549,99 </c:v>
                      </c:pt>
                      <c:pt idx="4">
                        <c:v> $479,99 </c:v>
                      </c:pt>
                      <c:pt idx="5">
                        <c:v> $409,99 </c:v>
                      </c:pt>
                      <c:pt idx="6">
                        <c:v> $339,99 </c:v>
                      </c:pt>
                      <c:pt idx="7">
                        <c:v> $254,99 </c:v>
                      </c:pt>
                    </c:strCache>
                  </c:strRef>
                </c:tx>
                <c:spPr>
                  <a:ln w="34925" cap="rnd">
                    <a:solidFill>
                      <a:srgbClr val="00206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Lit>
                    <c:ptCount val="8"/>
                    <c:pt idx="0">
                      <c:v>Bef</c:v>
                    </c:pt>
                    <c:pt idx="1">
                      <c:v>Mon</c:v>
                    </c:pt>
                    <c:pt idx="2">
                      <c:v>Tues</c:v>
                    </c:pt>
                    <c:pt idx="3">
                      <c:v>Wed</c:v>
                    </c:pt>
                    <c:pt idx="4">
                      <c:v>Thur</c:v>
                    </c:pt>
                    <c:pt idx="5">
                      <c:v>Fri</c:v>
                    </c:pt>
                    <c:pt idx="6">
                      <c:v>Sat</c:v>
                    </c:pt>
                    <c:pt idx="7">
                      <c:v>Sun</c:v>
                    </c:pt>
                  </c:strLit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Presupuesto!$J$8:$J$15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8"/>
                      <c:pt idx="0" formatCode="General">
                        <c:v>30.009999999999309</c:v>
                      </c:pt>
                      <c:pt idx="1">
                        <c:v>1234.9899999999989</c:v>
                      </c:pt>
                      <c:pt idx="2">
                        <c:v>549.98999999999887</c:v>
                      </c:pt>
                      <c:pt idx="3">
                        <c:v>549.98999999999887</c:v>
                      </c:pt>
                      <c:pt idx="4">
                        <c:v>479.98999999999887</c:v>
                      </c:pt>
                      <c:pt idx="5">
                        <c:v>409.98999999999887</c:v>
                      </c:pt>
                      <c:pt idx="6">
                        <c:v>339.98999999999887</c:v>
                      </c:pt>
                      <c:pt idx="7">
                        <c:v>254.98999999999887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E6F-4EE8-B9A9-4E2813C729CD}"/>
                  </c:ext>
                </c:extLst>
              </c15:ser>
            </c15:filteredLineSeries>
            <c15:filteredLine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Coins!$J$11:$J$18</c15:sqref>
                        </c15:formulaRef>
                      </c:ext>
                    </c:extLst>
                    <c:strCache>
                      <c:ptCount val="8"/>
                      <c:pt idx="0">
                        <c:v> $2.084,99 </c:v>
                      </c:pt>
                      <c:pt idx="1">
                        <c:v> $-   </c:v>
                      </c:pt>
                      <c:pt idx="2">
                        <c:v> $-   </c:v>
                      </c:pt>
                      <c:pt idx="3">
                        <c:v> $-   </c:v>
                      </c:pt>
                      <c:pt idx="4">
                        <c:v> $-   </c:v>
                      </c:pt>
                      <c:pt idx="5">
                        <c:v> $384,00 </c:v>
                      </c:pt>
                      <c:pt idx="6">
                        <c:v> $384,00 </c:v>
                      </c:pt>
                      <c:pt idx="7">
                        <c:v> $384,00 </c:v>
                      </c:pt>
                    </c:strCache>
                  </c:strRef>
                </c:tx>
                <c:spPr>
                  <a:ln w="34925" cap="rnd">
                    <a:solidFill>
                      <a:srgbClr val="FFFF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Coins!$J$11:$J$18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 formatCode="_-&quot;$&quot;* #,##0.00_-;\-&quot;$&quot;* #,##0.00_-;_-&quot;$&quot;* &quot;-&quot;??_-;_-@_-">
                        <c:v>2084.9899999999998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384</c:v>
                      </c:pt>
                      <c:pt idx="6">
                        <c:v>384</c:v>
                      </c:pt>
                      <c:pt idx="7">
                        <c:v>384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E6F-4EE8-B9A9-4E2813C729CD}"/>
                  </c:ext>
                </c:extLst>
              </c15:ser>
            </c15:filteredLineSeries>
            <c15:filteredLineSeries>
              <c15:ser>
                <c:idx val="4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Coins!$M$11:$M$18</c15:sqref>
                        </c15:formulaRef>
                      </c:ext>
                    </c:extLst>
                    <c:strCache>
                      <c:ptCount val="8"/>
                      <c:pt idx="0">
                        <c:v> $-   </c:v>
                      </c:pt>
                      <c:pt idx="1">
                        <c:v> $-   </c:v>
                      </c:pt>
                      <c:pt idx="2">
                        <c:v> $-   </c:v>
                      </c:pt>
                      <c:pt idx="3">
                        <c:v> $-   </c:v>
                      </c:pt>
                      <c:pt idx="4">
                        <c:v> $-   </c:v>
                      </c:pt>
                      <c:pt idx="5">
                        <c:v> $-   </c:v>
                      </c:pt>
                      <c:pt idx="6">
                        <c:v> $-   </c:v>
                      </c:pt>
                      <c:pt idx="7">
                        <c:v> $-   </c:v>
                      </c:pt>
                    </c:strCache>
                  </c:strRef>
                </c:tx>
                <c:spPr>
                  <a:ln w="34925" cap="rnd">
                    <a:solidFill>
                      <a:srgbClr val="0A9E1C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Coins!$M$11:$M$18</c15:sqref>
                        </c15:formulaRef>
                      </c:ext>
                    </c:extLst>
                    <c:numCache>
                      <c:formatCode>_-[$$-80A]* #,##0.00_-;\-[$$-80A]* #,##0.00_-;_-[$$-80A]* "-"??_-;_-@_-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E6F-4EE8-B9A9-4E2813C729CD}"/>
                  </c:ext>
                </c:extLst>
              </c15:ser>
            </c15:filteredLineSeries>
          </c:ext>
        </c:extLst>
      </c:lineChart>
      <c:catAx>
        <c:axId val="208544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56256"/>
        <c:crosses val="autoZero"/>
        <c:auto val="1"/>
        <c:lblAlgn val="ctr"/>
        <c:lblOffset val="100"/>
        <c:noMultiLvlLbl val="0"/>
      </c:catAx>
      <c:valAx>
        <c:axId val="2085456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85448352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114300</xdr:rowOff>
    </xdr:from>
    <xdr:to>
      <xdr:col>3</xdr:col>
      <xdr:colOff>161925</xdr:colOff>
      <xdr:row>2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6105910-864B-48A2-A325-AF57E26365CB}"/>
            </a:ext>
          </a:extLst>
        </xdr:cNvPr>
        <xdr:cNvSpPr/>
      </xdr:nvSpPr>
      <xdr:spPr>
        <a:xfrm>
          <a:off x="0" y="314325"/>
          <a:ext cx="2486025" cy="25717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900">
              <a:latin typeface="Courier New" panose="02070309020205020404" pitchFamily="49" charset="0"/>
              <a:cs typeface="Courier New" panose="02070309020205020404" pitchFamily="49" charset="0"/>
            </a:rPr>
            <a:t>Coins</a:t>
          </a:r>
        </a:p>
      </xdr:txBody>
    </xdr:sp>
    <xdr:clientData/>
  </xdr:twoCellAnchor>
  <xdr:twoCellAnchor>
    <xdr:from>
      <xdr:col>2</xdr:col>
      <xdr:colOff>642938</xdr:colOff>
      <xdr:row>1</xdr:row>
      <xdr:rowOff>42862</xdr:rowOff>
    </xdr:from>
    <xdr:to>
      <xdr:col>3</xdr:col>
      <xdr:colOff>223838</xdr:colOff>
      <xdr:row>3</xdr:row>
      <xdr:rowOff>33337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D819B5D7-718F-4E36-887C-8118A389F704}"/>
            </a:ext>
            <a:ext uri="{147F2762-F138-4A5C-976F-8EAC2B608ADB}">
              <a16:predDERef xmlns:a16="http://schemas.microsoft.com/office/drawing/2014/main" pred="{E6105910-864B-48A2-A325-AF57E26365CB}"/>
            </a:ext>
          </a:extLst>
        </xdr:cNvPr>
        <xdr:cNvSpPr/>
      </xdr:nvSpPr>
      <xdr:spPr>
        <a:xfrm rot="16200000">
          <a:off x="2152650" y="238125"/>
          <a:ext cx="390525" cy="400050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19474</xdr:colOff>
      <xdr:row>5</xdr:row>
      <xdr:rowOff>13823</xdr:rowOff>
    </xdr:from>
    <xdr:to>
      <xdr:col>15</xdr:col>
      <xdr:colOff>1055550</xdr:colOff>
      <xdr:row>19</xdr:row>
      <xdr:rowOff>1254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9C92EE0B-EDA9-4963-A123-ECACD44AE78C}"/>
            </a:ext>
            <a:ext uri="{147F2762-F138-4A5C-976F-8EAC2B608ADB}">
              <a16:predDERef xmlns:a16="http://schemas.microsoft.com/office/drawing/2014/main" pred="{D819B5D7-718F-4E36-887C-8118A389F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447676</xdr:colOff>
      <xdr:row>1</xdr:row>
      <xdr:rowOff>25400</xdr:rowOff>
    </xdr:from>
    <xdr:to>
      <xdr:col>2</xdr:col>
      <xdr:colOff>933454</xdr:colOff>
      <xdr:row>3</xdr:row>
      <xdr:rowOff>0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1ADC78B1-AC17-46EF-AFAD-299ABAC69936}"/>
            </a:ext>
          </a:extLst>
        </xdr:cNvPr>
        <xdr:cNvSpPr/>
      </xdr:nvSpPr>
      <xdr:spPr>
        <a:xfrm rot="16200000">
          <a:off x="2381252" y="187324"/>
          <a:ext cx="403225" cy="485778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114300</xdr:rowOff>
    </xdr:from>
    <xdr:to>
      <xdr:col>3</xdr:col>
      <xdr:colOff>161925</xdr:colOff>
      <xdr:row>2</xdr:row>
      <xdr:rowOff>171450</xdr:rowOff>
    </xdr:to>
    <xdr:sp macro="" textlink="">
      <xdr:nvSpPr>
        <xdr:cNvPr id="8" name="Rectángulo 1">
          <a:extLst>
            <a:ext uri="{FF2B5EF4-FFF2-40B4-BE49-F238E27FC236}">
              <a16:creationId xmlns:a16="http://schemas.microsoft.com/office/drawing/2014/main" id="{99D3C8D2-765D-4D43-954A-720D6CED2F7F}"/>
            </a:ext>
            <a:ext uri="{147F2762-F138-4A5C-976F-8EAC2B608ADB}">
              <a16:predDERef xmlns:a16="http://schemas.microsoft.com/office/drawing/2014/main" pred="{079C7649-8CCD-4AB8-8B0B-D2593B79BC70}"/>
            </a:ext>
          </a:extLst>
        </xdr:cNvPr>
        <xdr:cNvSpPr/>
      </xdr:nvSpPr>
      <xdr:spPr>
        <a:xfrm>
          <a:off x="0" y="314325"/>
          <a:ext cx="2486025" cy="25717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0" i="0" u="none" strike="noStrike">
              <a:solidFill>
                <a:schemeClr val="lt1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Week</a:t>
          </a:r>
        </a:p>
      </xdr:txBody>
    </xdr:sp>
    <xdr:clientData/>
  </xdr:twoCellAnchor>
  <xdr:twoCellAnchor>
    <xdr:from>
      <xdr:col>2</xdr:col>
      <xdr:colOff>642938</xdr:colOff>
      <xdr:row>1</xdr:row>
      <xdr:rowOff>42862</xdr:rowOff>
    </xdr:from>
    <xdr:to>
      <xdr:col>3</xdr:col>
      <xdr:colOff>223838</xdr:colOff>
      <xdr:row>3</xdr:row>
      <xdr:rowOff>33337</xdr:rowOff>
    </xdr:to>
    <xdr:sp macro="" textlink="">
      <xdr:nvSpPr>
        <xdr:cNvPr id="9" name="Triángulo isósceles 2">
          <a:extLst>
            <a:ext uri="{FF2B5EF4-FFF2-40B4-BE49-F238E27FC236}">
              <a16:creationId xmlns:a16="http://schemas.microsoft.com/office/drawing/2014/main" id="{F5F25459-9656-4DBA-8700-371C537C4615}"/>
            </a:ext>
            <a:ext uri="{147F2762-F138-4A5C-976F-8EAC2B608ADB}">
              <a16:predDERef xmlns:a16="http://schemas.microsoft.com/office/drawing/2014/main" pred="{99D3C8D2-765D-4D43-954A-720D6CED2F7F}"/>
            </a:ext>
          </a:extLst>
        </xdr:cNvPr>
        <xdr:cNvSpPr/>
      </xdr:nvSpPr>
      <xdr:spPr>
        <a:xfrm rot="16200000">
          <a:off x="2152650" y="238125"/>
          <a:ext cx="390525" cy="400050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646514</xdr:colOff>
      <xdr:row>1</xdr:row>
      <xdr:rowOff>38228</xdr:rowOff>
    </xdr:from>
    <xdr:to>
      <xdr:col>3</xdr:col>
      <xdr:colOff>229053</xdr:colOff>
      <xdr:row>3</xdr:row>
      <xdr:rowOff>12828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8A8BEA9D-5297-465A-AF83-703FC99BEA9A}"/>
            </a:ext>
            <a:ext uri="{147F2762-F138-4A5C-976F-8EAC2B608ADB}">
              <a16:predDERef xmlns:a16="http://schemas.microsoft.com/office/drawing/2014/main" pred="{E6105910-864B-48A2-A325-AF57E26365CB}"/>
            </a:ext>
          </a:extLst>
        </xdr:cNvPr>
        <xdr:cNvSpPr/>
      </xdr:nvSpPr>
      <xdr:spPr>
        <a:xfrm rot="16200000">
          <a:off x="2266584" y="246958"/>
          <a:ext cx="381000" cy="369939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1005959</xdr:colOff>
      <xdr:row>17</xdr:row>
      <xdr:rowOff>93847</xdr:rowOff>
    </xdr:from>
    <xdr:to>
      <xdr:col>11</xdr:col>
      <xdr:colOff>672879</xdr:colOff>
      <xdr:row>33</xdr:row>
      <xdr:rowOff>29314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5F3173-EDF4-4AF6-BDC6-AD61C1062F32}"/>
            </a:ext>
            <a:ext uri="{147F2762-F138-4A5C-976F-8EAC2B608ADB}">
              <a16:predDERef xmlns:a16="http://schemas.microsoft.com/office/drawing/2014/main" pred="{8A8BEA9D-5297-465A-AF83-703FC99BE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447676</xdr:colOff>
      <xdr:row>1</xdr:row>
      <xdr:rowOff>25400</xdr:rowOff>
    </xdr:from>
    <xdr:to>
      <xdr:col>2</xdr:col>
      <xdr:colOff>933454</xdr:colOff>
      <xdr:row>3</xdr:row>
      <xdr:rowOff>0</xdr:rowOff>
    </xdr:to>
    <xdr:sp macro="" textlink="">
      <xdr:nvSpPr>
        <xdr:cNvPr id="5" name="Triángulo isósceles 3">
          <a:extLst>
            <a:ext uri="{FF2B5EF4-FFF2-40B4-BE49-F238E27FC236}">
              <a16:creationId xmlns:a16="http://schemas.microsoft.com/office/drawing/2014/main" id="{65376232-116F-4A1F-96F7-248F821BC576}"/>
            </a:ext>
            <a:ext uri="{147F2762-F138-4A5C-976F-8EAC2B608ADB}">
              <a16:predDERef xmlns:a16="http://schemas.microsoft.com/office/drawing/2014/main" pred="{B85F3173-EDF4-4AF6-BDC6-AD61C1062F32}"/>
            </a:ext>
          </a:extLst>
        </xdr:cNvPr>
        <xdr:cNvSpPr/>
      </xdr:nvSpPr>
      <xdr:spPr>
        <a:xfrm rot="16200000">
          <a:off x="2784478" y="174623"/>
          <a:ext cx="336550" cy="476253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114300</xdr:rowOff>
    </xdr:from>
    <xdr:to>
      <xdr:col>3</xdr:col>
      <xdr:colOff>161925</xdr:colOff>
      <xdr:row>2</xdr:row>
      <xdr:rowOff>171450</xdr:rowOff>
    </xdr:to>
    <xdr:sp macro="" textlink="">
      <xdr:nvSpPr>
        <xdr:cNvPr id="6" name="Rectángulo 1">
          <a:extLst>
            <a:ext uri="{FF2B5EF4-FFF2-40B4-BE49-F238E27FC236}">
              <a16:creationId xmlns:a16="http://schemas.microsoft.com/office/drawing/2014/main" id="{8A0C9F54-B302-4C3F-8003-B793782F80FA}"/>
            </a:ext>
            <a:ext uri="{147F2762-F138-4A5C-976F-8EAC2B608ADB}">
              <a16:predDERef xmlns:a16="http://schemas.microsoft.com/office/drawing/2014/main" pred="{65376232-116F-4A1F-96F7-248F821BC576}"/>
            </a:ext>
          </a:extLst>
        </xdr:cNvPr>
        <xdr:cNvSpPr/>
      </xdr:nvSpPr>
      <xdr:spPr>
        <a:xfrm>
          <a:off x="0" y="304800"/>
          <a:ext cx="2476500" cy="24765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900" b="0" i="0" u="none" strike="noStrike">
              <a:solidFill>
                <a:schemeClr val="lt1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Presupuesto</a:t>
          </a:r>
        </a:p>
      </xdr:txBody>
    </xdr:sp>
    <xdr:clientData/>
  </xdr:twoCellAnchor>
  <xdr:twoCellAnchor>
    <xdr:from>
      <xdr:col>2</xdr:col>
      <xdr:colOff>771525</xdr:colOff>
      <xdr:row>1</xdr:row>
      <xdr:rowOff>47625</xdr:rowOff>
    </xdr:from>
    <xdr:to>
      <xdr:col>3</xdr:col>
      <xdr:colOff>180975</xdr:colOff>
      <xdr:row>3</xdr:row>
      <xdr:rowOff>38100</xdr:rowOff>
    </xdr:to>
    <xdr:sp macro="" textlink="">
      <xdr:nvSpPr>
        <xdr:cNvPr id="7" name="Triángulo isósceles 2">
          <a:extLst>
            <a:ext uri="{FF2B5EF4-FFF2-40B4-BE49-F238E27FC236}">
              <a16:creationId xmlns:a16="http://schemas.microsoft.com/office/drawing/2014/main" id="{3445B00F-5B60-48EB-80BB-CF8652BF6B0A}"/>
            </a:ext>
            <a:ext uri="{147F2762-F138-4A5C-976F-8EAC2B608ADB}">
              <a16:predDERef xmlns:a16="http://schemas.microsoft.com/office/drawing/2014/main" pred="{8A0C9F54-B302-4C3F-8003-B793782F80FA}"/>
            </a:ext>
          </a:extLst>
        </xdr:cNvPr>
        <xdr:cNvSpPr/>
      </xdr:nvSpPr>
      <xdr:spPr>
        <a:xfrm rot="16200000">
          <a:off x="2085975" y="200025"/>
          <a:ext cx="371475" cy="447675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114300</xdr:rowOff>
    </xdr:from>
    <xdr:to>
      <xdr:col>3</xdr:col>
      <xdr:colOff>161925</xdr:colOff>
      <xdr:row>2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A3DEA3-B29B-498F-BF06-8D77F43E3C1F}"/>
            </a:ext>
            <a:ext uri="{147F2762-F138-4A5C-976F-8EAC2B608ADB}">
              <a16:predDERef xmlns:a16="http://schemas.microsoft.com/office/drawing/2014/main" pred="{3445B00F-5B60-48EB-80BB-CF8652BF6B0A}"/>
            </a:ext>
          </a:extLst>
        </xdr:cNvPr>
        <xdr:cNvSpPr/>
      </xdr:nvSpPr>
      <xdr:spPr>
        <a:xfrm>
          <a:off x="0" y="314325"/>
          <a:ext cx="2590800" cy="25717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900">
              <a:latin typeface="Courier New" panose="02070309020205020404" pitchFamily="49" charset="0"/>
              <a:cs typeface="Courier New" panose="02070309020205020404" pitchFamily="49" charset="0"/>
            </a:rPr>
            <a:t>Coins</a:t>
          </a:r>
        </a:p>
      </xdr:txBody>
    </xdr:sp>
    <xdr:clientData/>
  </xdr:twoCellAnchor>
  <xdr:twoCellAnchor editAs="oneCell">
    <xdr:from>
      <xdr:col>5</xdr:col>
      <xdr:colOff>495300</xdr:colOff>
      <xdr:row>17</xdr:row>
      <xdr:rowOff>114300</xdr:rowOff>
    </xdr:from>
    <xdr:to>
      <xdr:col>7</xdr:col>
      <xdr:colOff>495300</xdr:colOff>
      <xdr:row>32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13A62E-6002-4C5D-9CE3-FA8658D06EE3}"/>
            </a:ext>
            <a:ext uri="{147F2762-F138-4A5C-976F-8EAC2B608ADB}">
              <a16:predDERef xmlns:a16="http://schemas.microsoft.com/office/drawing/2014/main" pred="{C9A3DEA3-B29B-498F-BF06-8D77F43E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6325" y="2590800"/>
          <a:ext cx="2076450" cy="1885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200958</xdr:rowOff>
    </xdr:from>
    <xdr:to>
      <xdr:col>3</xdr:col>
      <xdr:colOff>33992</xdr:colOff>
      <xdr:row>3</xdr:row>
      <xdr:rowOff>19796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55A699A-E183-448C-96D2-A30709B6A458}"/>
            </a:ext>
          </a:extLst>
        </xdr:cNvPr>
        <xdr:cNvSpPr/>
      </xdr:nvSpPr>
      <xdr:spPr>
        <a:xfrm>
          <a:off x="0" y="402664"/>
          <a:ext cx="2686051" cy="22225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900">
              <a:latin typeface="Courier New" panose="02070309020205020404" pitchFamily="49" charset="0"/>
              <a:cs typeface="Courier New" panose="02070309020205020404" pitchFamily="49" charset="0"/>
            </a:rPr>
            <a:t>Points</a:t>
          </a:r>
        </a:p>
      </xdr:txBody>
    </xdr:sp>
    <xdr:clientData/>
  </xdr:twoCellAnchor>
  <xdr:twoCellAnchor>
    <xdr:from>
      <xdr:col>2</xdr:col>
      <xdr:colOff>659093</xdr:colOff>
      <xdr:row>1</xdr:row>
      <xdr:rowOff>112058</xdr:rowOff>
    </xdr:from>
    <xdr:to>
      <xdr:col>3</xdr:col>
      <xdr:colOff>196106</xdr:colOff>
      <xdr:row>3</xdr:row>
      <xdr:rowOff>111871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D623622A-F5D0-4ECE-B252-C2BF0F584D0F}"/>
            </a:ext>
          </a:extLst>
        </xdr:cNvPr>
        <xdr:cNvSpPr/>
      </xdr:nvSpPr>
      <xdr:spPr>
        <a:xfrm rot="16200000">
          <a:off x="2403663" y="272488"/>
          <a:ext cx="403225" cy="485778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88525</xdr:rowOff>
    </xdr:from>
    <xdr:to>
      <xdr:col>2</xdr:col>
      <xdr:colOff>788521</xdr:colOff>
      <xdr:row>2</xdr:row>
      <xdr:rowOff>109069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7C7F564-BC8D-433E-8359-4A35D1E39E9A}"/>
            </a:ext>
          </a:extLst>
        </xdr:cNvPr>
        <xdr:cNvSpPr/>
      </xdr:nvSpPr>
      <xdr:spPr>
        <a:xfrm>
          <a:off x="0" y="291725"/>
          <a:ext cx="2680821" cy="223744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900">
              <a:latin typeface="Courier New" panose="02070309020205020404" pitchFamily="49" charset="0"/>
              <a:cs typeface="Courier New" panose="02070309020205020404" pitchFamily="49" charset="0"/>
            </a:rPr>
            <a:t>Counts</a:t>
          </a:r>
        </a:p>
        <a:p>
          <a:pPr algn="ctr"/>
          <a:endParaRPr lang="es-MX" sz="900"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2</xdr:col>
      <xdr:colOff>442447</xdr:colOff>
      <xdr:row>0</xdr:row>
      <xdr:rowOff>201332</xdr:rowOff>
    </xdr:from>
    <xdr:to>
      <xdr:col>2</xdr:col>
      <xdr:colOff>928225</xdr:colOff>
      <xdr:row>2</xdr:row>
      <xdr:rowOff>201145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B362D421-C488-4A70-B32E-67E84C83A05D}"/>
            </a:ext>
          </a:extLst>
        </xdr:cNvPr>
        <xdr:cNvSpPr/>
      </xdr:nvSpPr>
      <xdr:spPr>
        <a:xfrm rot="16200000">
          <a:off x="2374529" y="161550"/>
          <a:ext cx="406213" cy="485778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642938</xdr:colOff>
      <xdr:row>1</xdr:row>
      <xdr:rowOff>42862</xdr:rowOff>
    </xdr:from>
    <xdr:to>
      <xdr:col>3</xdr:col>
      <xdr:colOff>223838</xdr:colOff>
      <xdr:row>3</xdr:row>
      <xdr:rowOff>33337</xdr:rowOff>
    </xdr:to>
    <xdr:sp macro="" textlink="">
      <xdr:nvSpPr>
        <xdr:cNvPr id="5" name="Triángulo isósceles 2">
          <a:extLst>
            <a:ext uri="{FF2B5EF4-FFF2-40B4-BE49-F238E27FC236}">
              <a16:creationId xmlns:a16="http://schemas.microsoft.com/office/drawing/2014/main" id="{CE5AFB25-A433-434D-8EF5-42B719D2DE62}"/>
            </a:ext>
            <a:ext uri="{147F2762-F138-4A5C-976F-8EAC2B608ADB}">
              <a16:predDERef xmlns:a16="http://schemas.microsoft.com/office/drawing/2014/main" pred="{887100DD-6E3C-451A-9409-F609F47A60E9}"/>
            </a:ext>
          </a:extLst>
        </xdr:cNvPr>
        <xdr:cNvSpPr/>
      </xdr:nvSpPr>
      <xdr:spPr>
        <a:xfrm rot="16200000">
          <a:off x="2152650" y="238125"/>
          <a:ext cx="390525" cy="400050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75A6-700E-44BB-9DCE-15E9854EAD56}">
  <dimension ref="A1:AE127"/>
  <sheetViews>
    <sheetView showGridLines="0" topLeftCell="A4" zoomScale="85" zoomScaleNormal="85" workbookViewId="0">
      <selection activeCell="C14" sqref="C14"/>
    </sheetView>
  </sheetViews>
  <sheetFormatPr defaultColWidth="10.85546875" defaultRowHeight="11.25" customHeight="1"/>
  <cols>
    <col min="1" max="1" width="12.28515625" style="4" customWidth="1"/>
    <col min="2" max="2" width="11.85546875" style="4" customWidth="1"/>
    <col min="3" max="3" width="12.28515625" style="4" customWidth="1"/>
    <col min="4" max="4" width="8.85546875" style="4" customWidth="1"/>
    <col min="5" max="5" width="9.140625" style="4" customWidth="1"/>
    <col min="6" max="6" width="13.5703125" style="4" customWidth="1"/>
    <col min="7" max="7" width="11.5703125" style="4" customWidth="1"/>
    <col min="8" max="8" width="11.7109375" style="4" customWidth="1"/>
    <col min="9" max="9" width="10.85546875" style="4" customWidth="1"/>
    <col min="10" max="10" width="11.85546875" style="4" customWidth="1"/>
    <col min="11" max="11" width="12.140625" style="4" customWidth="1"/>
    <col min="12" max="12" width="14.5703125" style="4" customWidth="1"/>
    <col min="13" max="15" width="13.140625" style="4" customWidth="1"/>
    <col min="16" max="16" width="16.7109375" style="4" customWidth="1"/>
    <col min="17" max="17" width="8.140625" style="4" customWidth="1"/>
    <col min="18" max="18" width="12.85546875" style="4" customWidth="1"/>
    <col min="19" max="19" width="8.85546875" style="4" customWidth="1"/>
    <col min="20" max="23" width="13.5703125" style="4" customWidth="1"/>
    <col min="24" max="24" width="16" style="4" customWidth="1"/>
    <col min="25" max="34" width="13.5703125" style="4" customWidth="1"/>
    <col min="35" max="35" width="9.140625" style="4"/>
    <col min="36" max="16384" width="10.85546875" style="4"/>
  </cols>
  <sheetData>
    <row r="1" spans="1:26" ht="15.95" customHeight="1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79"/>
      <c r="K1" s="318"/>
      <c r="L1" s="318"/>
      <c r="M1" s="319"/>
      <c r="N1" s="320" t="s">
        <v>1</v>
      </c>
      <c r="O1" s="320" t="s">
        <v>2</v>
      </c>
      <c r="P1" s="13"/>
    </row>
    <row r="2" spans="1:26" ht="15.95" customHeight="1">
      <c r="A2" s="321"/>
      <c r="B2" s="322"/>
      <c r="C2" s="322"/>
      <c r="D2" s="322"/>
      <c r="E2" s="322"/>
      <c r="F2" s="322"/>
      <c r="G2" s="322"/>
      <c r="H2" s="322"/>
      <c r="I2" s="322"/>
      <c r="J2" s="381">
        <f ca="1">TODAY()</f>
        <v>45640</v>
      </c>
      <c r="K2" s="381"/>
      <c r="L2" s="381"/>
      <c r="M2" s="318">
        <f ca="1">Points!I16</f>
        <v>1736</v>
      </c>
      <c r="N2" s="380" t="s">
        <v>3</v>
      </c>
      <c r="O2" s="380"/>
      <c r="P2" s="13"/>
    </row>
    <row r="3" spans="1:26" ht="15.95" customHeight="1">
      <c r="A3" s="213"/>
      <c r="B3" s="212"/>
      <c r="C3" s="212"/>
      <c r="D3" s="212"/>
      <c r="E3" s="212"/>
      <c r="F3" s="212"/>
      <c r="G3" s="212"/>
      <c r="H3" s="212"/>
      <c r="I3" s="212"/>
      <c r="J3" s="268"/>
      <c r="K3" s="268"/>
      <c r="L3" s="268"/>
      <c r="M3" s="241"/>
      <c r="N3" s="269"/>
      <c r="O3" s="269"/>
      <c r="P3" s="13"/>
    </row>
    <row r="4" spans="1:26" ht="15.95" customHeight="1">
      <c r="A4" s="213"/>
      <c r="B4" s="212"/>
      <c r="C4" s="212"/>
      <c r="D4" s="212"/>
      <c r="E4" s="212"/>
      <c r="F4" s="212"/>
      <c r="G4" s="212"/>
      <c r="H4" s="212"/>
      <c r="I4" s="212"/>
      <c r="J4" s="268"/>
      <c r="K4" s="268"/>
      <c r="L4" s="268"/>
      <c r="M4" s="241"/>
      <c r="N4" s="269"/>
      <c r="O4" s="269"/>
      <c r="P4" s="13"/>
    </row>
    <row r="5" spans="1:26" ht="15.95" customHeight="1">
      <c r="A5" s="212"/>
      <c r="B5" s="212"/>
      <c r="C5" s="212"/>
      <c r="D5" s="212"/>
      <c r="E5" s="212"/>
      <c r="F5" s="212"/>
      <c r="G5" s="212"/>
      <c r="H5" s="212"/>
      <c r="I5" s="212"/>
      <c r="J5" s="13"/>
      <c r="K5" s="13"/>
      <c r="L5" s="13"/>
      <c r="M5" s="241"/>
      <c r="N5" s="242"/>
      <c r="O5" s="242"/>
      <c r="P5" s="13"/>
      <c r="V5" s="13"/>
      <c r="W5" s="13"/>
      <c r="X5" s="13"/>
      <c r="Y5" s="13"/>
      <c r="Z5" s="13"/>
    </row>
    <row r="6" spans="1:26" ht="15.95" customHeight="1">
      <c r="A6" s="361" t="s">
        <v>4</v>
      </c>
      <c r="B6" s="341">
        <v>4169.9799999999996</v>
      </c>
      <c r="C6" s="349" t="s">
        <v>5</v>
      </c>
      <c r="D6" s="384">
        <f>Points!S5</f>
        <v>32.653836705883677</v>
      </c>
      <c r="E6" s="384"/>
      <c r="F6" s="384"/>
      <c r="G6" s="382" t="str">
        <f>IF(D6&gt;=20, "¡¡Risk!!","Stable ;)")</f>
        <v>¡¡Risk!!</v>
      </c>
      <c r="H6" s="382"/>
      <c r="I6" s="376" t="s">
        <v>6</v>
      </c>
      <c r="J6" s="339">
        <v>7</v>
      </c>
      <c r="K6" s="367" t="s">
        <v>7</v>
      </c>
      <c r="L6" s="337">
        <f>B6/J6</f>
        <v>595.71142857142854</v>
      </c>
      <c r="M6" s="13"/>
      <c r="N6" s="13"/>
      <c r="O6" s="13"/>
      <c r="V6" s="8"/>
      <c r="W6" s="8"/>
    </row>
    <row r="7" spans="1:26" ht="15.95" customHeight="1">
      <c r="A7" s="375"/>
      <c r="B7" s="342"/>
      <c r="C7" s="350"/>
      <c r="D7" s="385"/>
      <c r="E7" s="385"/>
      <c r="F7" s="385"/>
      <c r="G7" s="383"/>
      <c r="H7" s="383"/>
      <c r="I7" s="377"/>
      <c r="J7" s="340"/>
      <c r="K7" s="378"/>
      <c r="L7" s="338"/>
      <c r="U7" s="8"/>
      <c r="V7" s="187"/>
      <c r="W7" s="187"/>
    </row>
    <row r="8" spans="1:26" ht="15.95" customHeight="1">
      <c r="A8" s="113" t="s">
        <v>8</v>
      </c>
      <c r="B8" s="114">
        <v>45639</v>
      </c>
      <c r="C8" s="110" t="s">
        <v>9</v>
      </c>
      <c r="D8" s="292" t="s">
        <v>10</v>
      </c>
      <c r="E8" s="293"/>
      <c r="F8" s="257">
        <v>16</v>
      </c>
      <c r="G8" s="257"/>
      <c r="H8" s="351" t="s">
        <v>11</v>
      </c>
      <c r="I8" s="344" t="s">
        <v>12</v>
      </c>
      <c r="J8" s="344" t="s">
        <v>13</v>
      </c>
      <c r="K8" s="339" t="s">
        <v>14</v>
      </c>
      <c r="L8" s="346">
        <v>378963.86</v>
      </c>
    </row>
    <row r="9" spans="1:26" ht="15.95" customHeight="1">
      <c r="A9" s="190" t="s">
        <v>15</v>
      </c>
      <c r="B9" s="189">
        <f>B8+6</f>
        <v>45645</v>
      </c>
      <c r="C9" s="9" t="s">
        <v>16</v>
      </c>
      <c r="D9" s="294" t="s">
        <v>17</v>
      </c>
      <c r="E9" s="295">
        <f>100/B6*(F8*I10)</f>
        <v>7.2902028307090205</v>
      </c>
      <c r="F9" s="296">
        <f>B6*(E8/100)/I10</f>
        <v>0</v>
      </c>
      <c r="G9" s="9"/>
      <c r="H9" s="352"/>
      <c r="I9" s="345"/>
      <c r="J9" s="353"/>
      <c r="K9" s="340"/>
      <c r="L9" s="346"/>
      <c r="U9" s="105"/>
      <c r="V9" s="105"/>
      <c r="W9" s="105"/>
    </row>
    <row r="10" spans="1:26" ht="15.95" customHeight="1">
      <c r="A10" s="203" t="s">
        <v>18</v>
      </c>
      <c r="B10" s="204" t="s">
        <v>19</v>
      </c>
      <c r="C10" s="204"/>
      <c r="D10" s="204" t="s">
        <v>20</v>
      </c>
      <c r="E10" s="204"/>
      <c r="F10" s="204" t="s">
        <v>21</v>
      </c>
      <c r="G10" s="204"/>
      <c r="H10" s="236"/>
      <c r="I10" s="237">
        <v>19</v>
      </c>
      <c r="J10" s="206">
        <v>0.5</v>
      </c>
      <c r="K10" s="13"/>
      <c r="L10" s="347"/>
      <c r="U10" s="105"/>
      <c r="V10" s="105"/>
      <c r="W10" s="105"/>
    </row>
    <row r="11" spans="1:26" ht="15.95" customHeight="1">
      <c r="A11" s="280" t="s">
        <v>22</v>
      </c>
      <c r="B11" s="9" t="s">
        <v>23</v>
      </c>
      <c r="C11" s="9" t="s">
        <v>24</v>
      </c>
      <c r="D11" s="9" t="s">
        <v>23</v>
      </c>
      <c r="E11" s="9" t="s">
        <v>24</v>
      </c>
      <c r="F11" s="9" t="s">
        <v>23</v>
      </c>
      <c r="G11" s="9" t="s">
        <v>24</v>
      </c>
      <c r="H11" s="221">
        <f>Week!J14</f>
        <v>30.009999999999309</v>
      </c>
      <c r="I11" s="217">
        <f>Week!K14</f>
        <v>0.25999999999999801</v>
      </c>
      <c r="J11" s="263">
        <f>4169.98*J10</f>
        <v>2084.9899999999998</v>
      </c>
      <c r="K11" s="235">
        <f>H11+(I11*I10)+J11</f>
        <v>2119.9399999999991</v>
      </c>
      <c r="L11" s="348"/>
      <c r="M11" s="211">
        <f>I11*J22</f>
        <v>0</v>
      </c>
      <c r="U11" s="6"/>
      <c r="V11" s="8"/>
      <c r="W11" s="5"/>
    </row>
    <row r="12" spans="1:26" ht="15.95" customHeight="1">
      <c r="A12" s="111" t="s">
        <v>25</v>
      </c>
      <c r="B12" s="257">
        <v>4169.9799999999996</v>
      </c>
      <c r="C12" s="115">
        <f>30+2400+280+15+18+2+270+12+98+15+50+20+12</f>
        <v>3222</v>
      </c>
      <c r="D12" s="115">
        <v>16</v>
      </c>
      <c r="E12" s="115"/>
      <c r="F12" s="115"/>
      <c r="G12" s="257">
        <v>4169.9799999999996</v>
      </c>
      <c r="H12" s="222">
        <f>H11+B12-C12</f>
        <v>977.98999999999887</v>
      </c>
      <c r="I12" s="218">
        <f>I11+D12-E12</f>
        <v>16.259999999999998</v>
      </c>
      <c r="J12" s="264">
        <f>J11+((F12-G12)*J10)</f>
        <v>0</v>
      </c>
      <c r="K12" s="225">
        <f>H12+(I12*I10)+J12</f>
        <v>1286.9299999999989</v>
      </c>
      <c r="L12" s="207" t="s">
        <v>26</v>
      </c>
      <c r="M12" s="211">
        <f>I12*J22</f>
        <v>0</v>
      </c>
      <c r="U12" s="7"/>
      <c r="V12" s="5"/>
      <c r="W12" s="5"/>
    </row>
    <row r="13" spans="1:26" ht="15.95" customHeight="1">
      <c r="A13" s="112" t="s">
        <v>27</v>
      </c>
      <c r="B13" s="15"/>
      <c r="C13" s="116">
        <v>79</v>
      </c>
      <c r="D13" s="116"/>
      <c r="E13" s="116"/>
      <c r="F13" s="116"/>
      <c r="G13" s="116"/>
      <c r="H13" s="223">
        <f t="shared" ref="H13:H18" si="0">H12+B13-C13</f>
        <v>898.98999999999887</v>
      </c>
      <c r="I13" s="219">
        <f t="shared" ref="I13:I18" si="1">I12+D13-E13</f>
        <v>16.259999999999998</v>
      </c>
      <c r="J13" s="265">
        <f>J12+((F13-G13)*J10)</f>
        <v>0</v>
      </c>
      <c r="K13" s="226">
        <f>H13+(I13*I10)+J13</f>
        <v>1207.9299999999989</v>
      </c>
      <c r="L13" s="208" cm="1">
        <f t="array" ref="L13">_xlfn.IFS(Points!B14&lt;=1,10,Points!B14&lt;=2,9,Points!B14&lt;=3,8,Points!B14&lt;=4,7,Points!B14&lt;=5,6,Points!B14&lt;=6,5,Points!B14&lt;=7,4,Points!B14&lt;=8,3,Points!B14&lt;=9,2,Points!B14&lt;=10,1)</f>
        <v>1</v>
      </c>
      <c r="M13" s="211">
        <f>I13*J22</f>
        <v>0</v>
      </c>
      <c r="U13" s="8"/>
      <c r="V13" s="109"/>
      <c r="W13" s="109"/>
    </row>
    <row r="14" spans="1:26" ht="15.95" customHeight="1">
      <c r="A14" s="279" t="s">
        <v>28</v>
      </c>
      <c r="B14" s="15"/>
      <c r="C14" s="116"/>
      <c r="D14" s="116"/>
      <c r="E14" s="116"/>
      <c r="F14" s="116"/>
      <c r="G14" s="116"/>
      <c r="H14" s="223">
        <f>H13+B14-C14</f>
        <v>898.98999999999887</v>
      </c>
      <c r="I14" s="219">
        <f t="shared" si="1"/>
        <v>16.259999999999998</v>
      </c>
      <c r="J14" s="265">
        <f>J13+((F14-G14)*J10)</f>
        <v>0</v>
      </c>
      <c r="K14" s="226">
        <f>H14+(I14*I10)+J14</f>
        <v>1207.9299999999989</v>
      </c>
      <c r="L14" s="207" t="s">
        <v>29</v>
      </c>
      <c r="M14" s="211">
        <f>I14*J22</f>
        <v>0</v>
      </c>
    </row>
    <row r="15" spans="1:26" ht="15.95" customHeight="1">
      <c r="A15" s="197" t="s">
        <v>30</v>
      </c>
      <c r="B15" s="15"/>
      <c r="C15" s="116"/>
      <c r="D15" s="116"/>
      <c r="E15" s="116"/>
      <c r="F15" s="116"/>
      <c r="G15" s="116"/>
      <c r="H15" s="223">
        <f>H14+B15-C15</f>
        <v>898.98999999999887</v>
      </c>
      <c r="I15" s="219">
        <f t="shared" si="1"/>
        <v>16.259999999999998</v>
      </c>
      <c r="J15" s="265">
        <f>J14+((F15-G15)*J10)</f>
        <v>0</v>
      </c>
      <c r="K15" s="226">
        <f>H15+(I15*I10)+J15</f>
        <v>1207.9299999999989</v>
      </c>
      <c r="L15" s="209">
        <f>L8+L18</f>
        <v>382753.49859999999</v>
      </c>
      <c r="M15" s="211">
        <f>I15*J22</f>
        <v>0</v>
      </c>
    </row>
    <row r="16" spans="1:26" ht="15.95" customHeight="1">
      <c r="A16" s="197" t="s">
        <v>31</v>
      </c>
      <c r="B16" s="258"/>
      <c r="C16" s="185"/>
      <c r="D16" s="8"/>
      <c r="E16" s="116"/>
      <c r="F16" s="116">
        <v>768</v>
      </c>
      <c r="G16" s="116"/>
      <c r="H16" s="223">
        <f>H15+B16-C16</f>
        <v>898.98999999999887</v>
      </c>
      <c r="I16" s="219">
        <f t="shared" si="1"/>
        <v>16.259999999999998</v>
      </c>
      <c r="J16" s="265">
        <f>J15+((F16-G16)*J10)</f>
        <v>384</v>
      </c>
      <c r="K16" s="226">
        <f>H16+(I16*I10)+J16</f>
        <v>1591.9299999999989</v>
      </c>
      <c r="L16" s="207" t="s">
        <v>32</v>
      </c>
      <c r="M16" s="211">
        <f>I16*J22</f>
        <v>0</v>
      </c>
      <c r="X16" s="13"/>
      <c r="Y16" s="36"/>
      <c r="Z16" s="13"/>
    </row>
    <row r="17" spans="1:31" ht="15.95" customHeight="1">
      <c r="A17" s="197" t="s">
        <v>33</v>
      </c>
      <c r="B17" s="185"/>
      <c r="C17" s="185"/>
      <c r="D17" s="36"/>
      <c r="E17" s="116"/>
      <c r="F17" s="255"/>
      <c r="G17" s="116"/>
      <c r="H17" s="223">
        <f t="shared" si="0"/>
        <v>898.98999999999887</v>
      </c>
      <c r="I17" s="219">
        <f t="shared" si="1"/>
        <v>16.259999999999998</v>
      </c>
      <c r="J17" s="265">
        <f>J16+((F17-G17)*J10)</f>
        <v>384</v>
      </c>
      <c r="K17" s="226">
        <f>H17+(I17*I10)+J17</f>
        <v>1591.9299999999989</v>
      </c>
      <c r="L17" s="210">
        <f>B9+1</f>
        <v>45646</v>
      </c>
      <c r="M17" s="211">
        <f>I17*J22</f>
        <v>0</v>
      </c>
      <c r="N17" s="193"/>
      <c r="U17" s="343"/>
      <c r="V17" s="330"/>
      <c r="W17" s="330"/>
      <c r="X17" s="13"/>
      <c r="Y17" s="36"/>
      <c r="Z17" s="13"/>
    </row>
    <row r="18" spans="1:31" ht="15.95" customHeight="1">
      <c r="A18" s="199" t="s">
        <v>34</v>
      </c>
      <c r="B18" s="185"/>
      <c r="C18" s="185"/>
      <c r="D18" s="8"/>
      <c r="E18" s="116"/>
      <c r="F18" s="116"/>
      <c r="G18" s="116"/>
      <c r="H18" s="224">
        <f t="shared" si="0"/>
        <v>898.98999999999887</v>
      </c>
      <c r="I18" s="220">
        <f t="shared" si="1"/>
        <v>16.259999999999998</v>
      </c>
      <c r="J18" s="266">
        <f>J17+((F18-G18)*J10)</f>
        <v>384</v>
      </c>
      <c r="K18" s="227">
        <f>H18+(I18*I10)+J18</f>
        <v>1591.9299999999989</v>
      </c>
      <c r="L18" s="331">
        <f>L8*(L13/100)</f>
        <v>3789.6385999999998</v>
      </c>
      <c r="M18" s="211">
        <f>I18*J22</f>
        <v>0</v>
      </c>
      <c r="U18" s="343"/>
      <c r="V18" s="330"/>
      <c r="W18" s="330"/>
      <c r="Y18" s="36"/>
      <c r="Z18" s="36"/>
      <c r="AA18" s="13"/>
    </row>
    <row r="19" spans="1:31" ht="15.95" customHeight="1">
      <c r="A19" s="123" t="s">
        <v>14</v>
      </c>
      <c r="B19" s="283">
        <f>SUM(B12:B18)</f>
        <v>4169.9799999999996</v>
      </c>
      <c r="C19" s="283">
        <f>SUM(C12:C18)</f>
        <v>3301</v>
      </c>
      <c r="D19" s="283">
        <f>SUM(D12:D18)</f>
        <v>16</v>
      </c>
      <c r="E19" s="283">
        <f>SUM(E12:E18)</f>
        <v>0</v>
      </c>
      <c r="F19" s="283">
        <f>(F12+F13+F14+F15+F16+F17+F18)*J10</f>
        <v>384</v>
      </c>
      <c r="G19" s="283">
        <f>(G12+G13+G14+G15+G16+G17+G18)*J10</f>
        <v>2084.9899999999998</v>
      </c>
      <c r="H19" s="284">
        <f>H18</f>
        <v>898.98999999999887</v>
      </c>
      <c r="I19" s="284">
        <f>I18</f>
        <v>16.259999999999998</v>
      </c>
      <c r="J19" s="284">
        <f>J18</f>
        <v>384</v>
      </c>
      <c r="K19" s="284">
        <f>K18</f>
        <v>1591.9299999999989</v>
      </c>
      <c r="L19" s="332"/>
      <c r="N19" s="193"/>
      <c r="Y19" s="9"/>
      <c r="Z19" s="103"/>
      <c r="AA19" s="13"/>
    </row>
    <row r="20" spans="1:31" ht="15.95" customHeight="1">
      <c r="A20" s="8"/>
      <c r="B20" s="354">
        <f>B19-C19</f>
        <v>868.97999999999956</v>
      </c>
      <c r="C20" s="355"/>
      <c r="D20" s="354">
        <f>D19-E19</f>
        <v>16</v>
      </c>
      <c r="E20" s="355"/>
      <c r="F20" s="354">
        <f>F19-G19</f>
        <v>-1700.9899999999998</v>
      </c>
      <c r="G20" s="355"/>
      <c r="I20" s="8"/>
      <c r="J20" s="8"/>
      <c r="L20" s="8"/>
      <c r="M20" s="8"/>
      <c r="O20" s="193"/>
      <c r="U20" s="39"/>
      <c r="V20" s="106"/>
      <c r="W20" s="39"/>
      <c r="X20" s="39"/>
      <c r="Y20" s="104"/>
      <c r="Z20" s="104"/>
      <c r="AA20" s="39"/>
      <c r="AB20" s="39"/>
      <c r="AC20" s="39"/>
      <c r="AD20" s="39"/>
      <c r="AE20" s="39"/>
    </row>
    <row r="21" spans="1:31" ht="15.95" customHeight="1">
      <c r="A21" s="8" t="str">
        <f>IF((C19+(E19*18))&gt;H22, "¡Presupuesto excedido!", " ")</f>
        <v xml:space="preserve"> </v>
      </c>
      <c r="B21" s="8" t="s">
        <v>35</v>
      </c>
      <c r="C21" s="8"/>
      <c r="D21" s="8"/>
      <c r="E21" s="8"/>
      <c r="F21" s="8"/>
      <c r="G21" s="8"/>
      <c r="H21" s="8" t="s">
        <v>36</v>
      </c>
      <c r="J21" s="8"/>
      <c r="L21" s="8"/>
      <c r="M21" s="8"/>
      <c r="U21" s="39"/>
      <c r="V21" s="39" t="s">
        <v>37</v>
      </c>
      <c r="W21" s="39"/>
      <c r="X21" s="39"/>
      <c r="Y21" s="39"/>
      <c r="Z21" s="39"/>
      <c r="AA21" s="39"/>
      <c r="AB21" s="39"/>
      <c r="AC21" s="39"/>
      <c r="AD21" s="39"/>
      <c r="AE21" s="39"/>
    </row>
    <row r="22" spans="1:31" ht="10.5" customHeight="1">
      <c r="A22" s="8"/>
      <c r="B22" s="8"/>
      <c r="C22" s="10"/>
      <c r="D22" s="8"/>
      <c r="E22" s="8"/>
      <c r="F22" s="8"/>
      <c r="G22" s="8"/>
      <c r="H22" s="291">
        <f>Presupuesto!I8</f>
        <v>3945</v>
      </c>
      <c r="J22" s="8"/>
      <c r="K22" s="8"/>
      <c r="L22" s="8"/>
      <c r="M22" s="8"/>
      <c r="N22" s="8"/>
      <c r="O22" s="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spans="1:31" ht="15">
      <c r="B23" s="8"/>
      <c r="C23" s="259"/>
      <c r="D23" s="8"/>
      <c r="F23" s="10"/>
      <c r="G23" s="8"/>
      <c r="H23" s="8"/>
      <c r="L23" s="10"/>
      <c r="M23" s="8"/>
      <c r="N23" s="200"/>
      <c r="O23" s="256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ht="15">
      <c r="B24" s="8"/>
      <c r="C24" s="10"/>
      <c r="D24" s="8"/>
      <c r="E24" s="8"/>
      <c r="F24" s="8"/>
      <c r="G24" s="8"/>
      <c r="H24" s="8"/>
      <c r="L24" s="8"/>
      <c r="M24" s="8"/>
      <c r="N24" s="200"/>
      <c r="O24" s="200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</row>
    <row r="25" spans="1:31" ht="15">
      <c r="B25" s="8"/>
      <c r="C25" s="8"/>
      <c r="D25" s="8"/>
      <c r="E25" s="8"/>
      <c r="G25" s="8"/>
      <c r="H25" s="8"/>
      <c r="L25" s="200"/>
      <c r="M25" s="200"/>
      <c r="N25" s="200"/>
      <c r="O25" s="200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spans="1:31" ht="15">
      <c r="B26" s="8"/>
      <c r="C26" s="8"/>
      <c r="D26" s="8"/>
      <c r="E26" s="8"/>
      <c r="G26" s="8"/>
      <c r="H26" s="8"/>
      <c r="L26" s="26"/>
      <c r="M26" s="26"/>
      <c r="N26" s="26"/>
      <c r="O26" s="26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</row>
    <row r="27" spans="1:31" ht="15">
      <c r="B27" s="8"/>
      <c r="C27" s="8"/>
      <c r="D27" s="8"/>
      <c r="E27" s="8"/>
      <c r="F27" s="8"/>
      <c r="G27" s="8"/>
      <c r="H27" s="8"/>
      <c r="L27" s="26"/>
      <c r="M27" s="26"/>
      <c r="N27" s="26"/>
      <c r="O27" s="26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spans="1:31" ht="14.4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39"/>
      <c r="W28" s="39"/>
      <c r="X28" s="39"/>
      <c r="Y28" s="39"/>
      <c r="Z28" s="39"/>
      <c r="AA28" s="39"/>
      <c r="AB28" s="39"/>
      <c r="AC28" s="39"/>
      <c r="AD28" s="39"/>
      <c r="AE28" s="39"/>
    </row>
    <row r="29" spans="1:31" ht="14.45" customHeight="1">
      <c r="A29" s="8"/>
      <c r="B29" s="8"/>
      <c r="C29" s="8"/>
      <c r="D29" s="32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39"/>
      <c r="W29" s="39"/>
      <c r="X29" s="39"/>
      <c r="Y29" s="39"/>
      <c r="Z29" s="39"/>
      <c r="AA29" s="39"/>
      <c r="AB29" s="39"/>
      <c r="AC29" s="39"/>
      <c r="AD29" s="39"/>
      <c r="AE29" s="39"/>
    </row>
    <row r="30" spans="1:31" ht="14.45" customHeight="1">
      <c r="A30" s="8"/>
      <c r="B30" s="8"/>
      <c r="C30" s="8"/>
      <c r="D30" s="32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spans="1:31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spans="1:31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1:31" ht="20.100000000000001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spans="1:31" ht="22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21.6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spans="1:31" ht="23.4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1:31" ht="1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1:31" ht="18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ht="14.4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spans="1:31" ht="14.4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ht="15.9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1" ht="14.4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1" ht="14.4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1" ht="14.4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10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1" ht="14.4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1" ht="14.4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1" ht="14.4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1:31" ht="14.4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1:31" ht="14.4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1:31" ht="14.45" customHeight="1"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1:31" ht="14.45" customHeight="1"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1:31" ht="10.5"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1:31" ht="15" customHeight="1"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ht="15.95" customHeight="1"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ht="17.45" customHeight="1"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ht="14.45" customHeight="1"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ht="10.5"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ht="16.5" customHeight="1">
      <c r="A59" s="8"/>
      <c r="B59" s="8"/>
      <c r="C59" s="8"/>
      <c r="D59" s="8"/>
      <c r="E59" s="8"/>
      <c r="F59" s="8"/>
      <c r="G59" s="8"/>
      <c r="H59" s="37"/>
      <c r="I59" s="8"/>
      <c r="J59" s="8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ht="14.4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ht="14.4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1:31" ht="10.5">
      <c r="A62" s="8"/>
      <c r="B62" s="8"/>
      <c r="C62" s="8"/>
      <c r="D62" s="8"/>
      <c r="E62" s="8"/>
      <c r="F62" s="8"/>
      <c r="G62" s="8"/>
      <c r="H62" s="8"/>
      <c r="I62" s="8"/>
      <c r="J62" s="8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1:31" ht="10.5">
      <c r="A63" s="8"/>
      <c r="B63" s="8"/>
      <c r="C63" s="8"/>
      <c r="D63" s="8"/>
      <c r="E63" s="8"/>
      <c r="F63" s="8"/>
      <c r="G63" s="8"/>
      <c r="H63" s="8"/>
      <c r="I63" s="8"/>
      <c r="J63" s="8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1:31" ht="14.4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1:31" ht="15" customHeight="1">
      <c r="A65" s="38"/>
      <c r="B65" s="8"/>
      <c r="C65" s="8"/>
      <c r="D65" s="8"/>
      <c r="E65" s="8"/>
      <c r="F65" s="8"/>
      <c r="G65" s="8"/>
      <c r="H65" s="8"/>
      <c r="I65" s="8"/>
      <c r="J65" s="8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1:31" ht="10.5">
      <c r="A66" s="8"/>
      <c r="B66" s="8"/>
      <c r="C66" s="8"/>
      <c r="D66" s="8"/>
      <c r="E66" s="8"/>
      <c r="F66" s="8"/>
      <c r="G66" s="8"/>
      <c r="H66" s="8"/>
      <c r="I66" s="8"/>
      <c r="J66" s="8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1:31" ht="10.5">
      <c r="A67" s="41"/>
      <c r="B67" s="42"/>
      <c r="C67" s="201"/>
      <c r="D67" s="201"/>
      <c r="E67" s="201"/>
      <c r="F67" s="201"/>
      <c r="G67" s="201"/>
      <c r="H67" s="43"/>
      <c r="I67" s="44"/>
      <c r="J67" s="100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1:31" ht="10.5">
      <c r="A68" s="46"/>
      <c r="B68" s="42"/>
      <c r="C68" s="202"/>
      <c r="D68" s="202"/>
      <c r="E68" s="202"/>
      <c r="F68" s="202"/>
      <c r="G68" s="202"/>
      <c r="H68" s="47"/>
      <c r="I68" s="44"/>
      <c r="J68" s="100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1:31" ht="14.25" customHeight="1">
      <c r="A69" s="46"/>
      <c r="B69" s="42"/>
      <c r="C69" s="202"/>
      <c r="D69" s="202"/>
      <c r="E69" s="202"/>
      <c r="F69" s="202"/>
      <c r="G69" s="202"/>
      <c r="H69" s="49"/>
      <c r="I69" s="44"/>
      <c r="J69" s="100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1:31" ht="10.5">
      <c r="A70" s="46"/>
      <c r="B70" s="42"/>
      <c r="C70" s="202"/>
      <c r="D70" s="202"/>
      <c r="E70" s="202"/>
      <c r="F70" s="202"/>
      <c r="G70" s="202"/>
      <c r="H70" s="51"/>
      <c r="I70" s="44"/>
      <c r="J70" s="100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1:31" ht="10.5">
      <c r="A71" s="53"/>
      <c r="B71" s="42"/>
      <c r="C71" s="202"/>
      <c r="D71" s="202"/>
      <c r="E71" s="202"/>
      <c r="F71" s="202"/>
      <c r="G71" s="202"/>
      <c r="H71" s="54"/>
      <c r="I71" s="44"/>
      <c r="J71" s="100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1:31" ht="10.5">
      <c r="A72" s="8"/>
      <c r="B72" s="8"/>
      <c r="C72" s="8"/>
      <c r="D72" s="8"/>
      <c r="E72" s="8"/>
      <c r="F72" s="8"/>
      <c r="G72" s="8"/>
      <c r="H72" s="8"/>
      <c r="I72" s="8"/>
      <c r="J72" s="8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1:31" ht="10.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0.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0.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0.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0.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0.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0.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0.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0.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0.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0.5">
      <c r="A83" s="333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55"/>
      <c r="M83" s="40"/>
      <c r="N83" s="40"/>
      <c r="O83" s="40"/>
      <c r="P83" s="40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0.5">
      <c r="A84" s="335"/>
      <c r="B84" s="336"/>
      <c r="C84" s="336"/>
      <c r="D84" s="336"/>
      <c r="E84" s="336"/>
      <c r="F84" s="336"/>
      <c r="G84" s="336"/>
      <c r="H84" s="336"/>
      <c r="I84" s="336"/>
      <c r="J84" s="336"/>
      <c r="K84" s="336"/>
      <c r="L84" s="56"/>
      <c r="M84" s="40"/>
      <c r="N84" s="40"/>
      <c r="O84" s="40"/>
      <c r="P84" s="40"/>
      <c r="Q84" s="8"/>
      <c r="R84" s="8"/>
      <c r="S84" s="8"/>
      <c r="T84" s="8"/>
      <c r="U84" s="8"/>
      <c r="V84" s="8"/>
      <c r="W84" s="8"/>
      <c r="X84" s="359" t="s">
        <v>38</v>
      </c>
      <c r="Y84" s="359"/>
      <c r="Z84" s="359"/>
      <c r="AA84" s="359"/>
      <c r="AB84" s="359"/>
      <c r="AC84" s="359"/>
      <c r="AD84" s="359"/>
      <c r="AE84" s="359"/>
    </row>
    <row r="85" spans="1:31" ht="10.5">
      <c r="A85" s="333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55"/>
      <c r="M85" s="40"/>
      <c r="N85" s="40"/>
      <c r="O85" s="57"/>
      <c r="P85" s="58"/>
      <c r="Q85" s="8"/>
      <c r="R85" s="8"/>
      <c r="S85" s="8"/>
      <c r="T85" s="8"/>
      <c r="U85" s="8"/>
      <c r="V85" s="8"/>
      <c r="W85" s="8"/>
      <c r="X85" s="360"/>
      <c r="Y85" s="360"/>
      <c r="Z85" s="360"/>
      <c r="AA85" s="360"/>
      <c r="AB85" s="360"/>
      <c r="AC85" s="360"/>
      <c r="AD85" s="360"/>
      <c r="AE85" s="360"/>
    </row>
    <row r="86" spans="1:31" ht="10.5">
      <c r="A86" s="335"/>
      <c r="B86" s="336"/>
      <c r="C86" s="336"/>
      <c r="D86" s="336"/>
      <c r="E86" s="336"/>
      <c r="F86" s="336"/>
      <c r="G86" s="336"/>
      <c r="H86" s="336"/>
      <c r="I86" s="336"/>
      <c r="J86" s="336"/>
      <c r="K86" s="336"/>
      <c r="L86" s="56"/>
      <c r="M86" s="40"/>
      <c r="N86" s="40"/>
      <c r="O86" s="40"/>
      <c r="P86" s="40"/>
      <c r="Q86" s="8"/>
      <c r="R86" s="8"/>
      <c r="S86" s="8"/>
      <c r="T86" s="8"/>
      <c r="U86" s="8"/>
      <c r="V86" s="8"/>
      <c r="W86" s="8"/>
      <c r="X86" s="361" t="s">
        <v>39</v>
      </c>
      <c r="Y86" s="362"/>
      <c r="Z86" s="365">
        <v>2369</v>
      </c>
      <c r="AA86" s="367" t="s">
        <v>40</v>
      </c>
      <c r="AB86" s="368"/>
      <c r="AC86" s="371">
        <v>5</v>
      </c>
      <c r="AD86" s="367" t="s">
        <v>41</v>
      </c>
      <c r="AE86" s="365">
        <f>Z86/AC86</f>
        <v>473.8</v>
      </c>
    </row>
    <row r="87" spans="1:31" ht="10.5">
      <c r="A87" s="333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55"/>
      <c r="M87" s="40"/>
      <c r="N87" s="40"/>
      <c r="O87" s="40"/>
      <c r="P87" s="40"/>
      <c r="Q87" s="8"/>
      <c r="R87" s="8"/>
      <c r="S87" s="8"/>
      <c r="T87" s="8"/>
      <c r="U87" s="8"/>
      <c r="V87" s="8"/>
      <c r="W87" s="8"/>
      <c r="X87" s="363"/>
      <c r="Y87" s="364"/>
      <c r="Z87" s="366"/>
      <c r="AA87" s="369"/>
      <c r="AB87" s="370"/>
      <c r="AC87" s="372"/>
      <c r="AD87" s="369"/>
      <c r="AE87" s="366"/>
    </row>
    <row r="88" spans="1:31" ht="10.5">
      <c r="A88" s="335"/>
      <c r="B88" s="336"/>
      <c r="C88" s="336"/>
      <c r="D88" s="336"/>
      <c r="E88" s="336"/>
      <c r="F88" s="336"/>
      <c r="G88" s="336"/>
      <c r="H88" s="336"/>
      <c r="I88" s="336"/>
      <c r="J88" s="336"/>
      <c r="K88" s="336"/>
      <c r="L88" s="56"/>
      <c r="M88" s="40"/>
      <c r="N88" s="40"/>
      <c r="O88" s="40"/>
      <c r="P88" s="59"/>
      <c r="Q88" s="8"/>
      <c r="R88" s="8"/>
      <c r="S88" s="8"/>
      <c r="T88" s="8"/>
      <c r="U88" s="8"/>
      <c r="V88" s="8"/>
      <c r="W88" s="8"/>
      <c r="X88" s="11" t="s">
        <v>8</v>
      </c>
      <c r="Y88" s="12">
        <v>45474</v>
      </c>
      <c r="Z88" s="71"/>
      <c r="AA88" s="356" t="s">
        <v>42</v>
      </c>
      <c r="AB88" s="357"/>
      <c r="AC88" s="357"/>
      <c r="AD88" s="357"/>
      <c r="AE88" s="358"/>
    </row>
    <row r="89" spans="1:31" ht="10.5">
      <c r="A89" s="333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55"/>
      <c r="M89" s="40"/>
      <c r="N89" s="40"/>
      <c r="O89" s="40"/>
      <c r="P89" s="40"/>
      <c r="Q89" s="8"/>
      <c r="R89" s="8"/>
      <c r="S89" s="8"/>
      <c r="T89" s="8"/>
      <c r="U89" s="8"/>
      <c r="V89" s="8"/>
      <c r="W89" s="8"/>
      <c r="X89" s="72" t="s">
        <v>15</v>
      </c>
      <c r="Y89" s="73">
        <f>Y88+6</f>
        <v>45480</v>
      </c>
      <c r="Z89" s="74"/>
      <c r="AA89" s="75">
        <v>0</v>
      </c>
      <c r="AB89" s="76">
        <v>3</v>
      </c>
      <c r="AC89" s="9"/>
      <c r="AD89" s="77">
        <v>1774.5</v>
      </c>
      <c r="AE89" s="77">
        <v>1774.5</v>
      </c>
    </row>
    <row r="90" spans="1:31" ht="14.45" customHeight="1">
      <c r="A90" s="335"/>
      <c r="B90" s="336"/>
      <c r="C90" s="336"/>
      <c r="D90" s="336"/>
      <c r="E90" s="336"/>
      <c r="F90" s="336"/>
      <c r="G90" s="336"/>
      <c r="H90" s="336"/>
      <c r="I90" s="336"/>
      <c r="J90" s="336"/>
      <c r="K90" s="336"/>
      <c r="L90" s="56"/>
      <c r="M90" s="40"/>
      <c r="N90" s="40"/>
      <c r="O90" s="40"/>
      <c r="P90" s="40"/>
      <c r="Q90" s="8"/>
      <c r="R90" s="8"/>
      <c r="S90" s="8"/>
      <c r="T90" s="8"/>
      <c r="U90" s="8"/>
      <c r="V90" s="8"/>
      <c r="W90" s="8"/>
      <c r="X90" s="68" t="s">
        <v>43</v>
      </c>
      <c r="Y90" s="78" t="s">
        <v>44</v>
      </c>
      <c r="Z90" s="79" t="s">
        <v>45</v>
      </c>
      <c r="AA90" s="80" t="s">
        <v>46</v>
      </c>
      <c r="AB90" s="81" t="s">
        <v>47</v>
      </c>
      <c r="AC90" s="82" t="s">
        <v>48</v>
      </c>
      <c r="AD90" s="69" t="s">
        <v>49</v>
      </c>
      <c r="AE90" s="18" t="s">
        <v>50</v>
      </c>
    </row>
    <row r="91" spans="1:31" ht="14.45" customHeight="1">
      <c r="A91" s="333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55"/>
      <c r="M91" s="40"/>
      <c r="N91" s="40"/>
      <c r="O91" s="40"/>
      <c r="P91" s="40"/>
      <c r="Q91" s="8"/>
      <c r="R91" s="8"/>
      <c r="S91" s="8"/>
      <c r="T91" s="8"/>
      <c r="U91" s="8"/>
      <c r="V91" s="8"/>
      <c r="W91" s="8"/>
      <c r="X91" s="64" t="s">
        <v>51</v>
      </c>
      <c r="Y91" s="14">
        <f>((Y54*10)+(Y55*10)+(Y56*10)+(Y57*5)+(Y58*15)+(Y59*24)+(Y60*10)+Y61)-((((Z54+Z55+Z56+Z57)/5)*14)+(Z58*6.5)+(Z59*15)+(Z60*8)+(0+0+0+0))</f>
        <v>0</v>
      </c>
      <c r="Z91" s="14">
        <f>SUM(Y64:Y70)</f>
        <v>0</v>
      </c>
      <c r="AA91" s="15">
        <f t="shared" ref="AA91:AA97" si="2">(Y91*0.015)+(Z91*0.05)</f>
        <v>0</v>
      </c>
      <c r="AB91" s="83">
        <v>4</v>
      </c>
      <c r="AC91" s="9">
        <v>7</v>
      </c>
      <c r="AD91" s="15">
        <v>1030.5</v>
      </c>
      <c r="AE91" s="19">
        <f t="shared" ref="AE91:AE97" si="3">SUM(AD91)</f>
        <v>1030.5</v>
      </c>
    </row>
    <row r="92" spans="1:31" ht="14.45" customHeight="1">
      <c r="A92" s="335"/>
      <c r="B92" s="336"/>
      <c r="C92" s="336"/>
      <c r="D92" s="336"/>
      <c r="E92" s="336"/>
      <c r="F92" s="336"/>
      <c r="G92" s="336"/>
      <c r="H92" s="336"/>
      <c r="I92" s="336"/>
      <c r="J92" s="336"/>
      <c r="K92" s="336"/>
      <c r="L92" s="56"/>
      <c r="M92" s="60"/>
      <c r="N92" s="60"/>
      <c r="O92" s="60"/>
      <c r="P92" s="60"/>
      <c r="Q92" s="8"/>
      <c r="R92" s="8"/>
      <c r="S92" s="8"/>
      <c r="T92" s="8"/>
      <c r="U92" s="8"/>
      <c r="V92" s="8"/>
      <c r="W92" s="8"/>
      <c r="X92" s="84" t="s">
        <v>52</v>
      </c>
      <c r="Y92" s="14">
        <f>((Z54*10)+(Z55*10)+(Z56*10)+(Z57*5)+(Z58*15)+(Z59*24)+(Z60*10)+Z61)-((((AA54+AA55+AA56+AA57)/5)*14)+(AA58*6.5)+(AA59*15)+(AA60*8)+(0+0+0+0))</f>
        <v>0</v>
      </c>
      <c r="Z92" s="14">
        <f>SUM(Z64:Z70)</f>
        <v>0</v>
      </c>
      <c r="AA92" s="15">
        <f t="shared" si="2"/>
        <v>0</v>
      </c>
      <c r="AB92" s="85">
        <v>5</v>
      </c>
      <c r="AC92" s="8">
        <v>9</v>
      </c>
      <c r="AD92" s="15">
        <v>836.5</v>
      </c>
      <c r="AE92" s="19">
        <f t="shared" si="3"/>
        <v>836.5</v>
      </c>
    </row>
    <row r="93" spans="1:31" ht="14.45" customHeight="1">
      <c r="A93" s="333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55"/>
      <c r="M93" s="60"/>
      <c r="N93" s="60"/>
      <c r="O93" s="60"/>
      <c r="P93" s="60"/>
      <c r="Q93" s="8"/>
      <c r="R93" s="8"/>
      <c r="S93" s="8"/>
      <c r="T93" s="8"/>
      <c r="U93" s="8"/>
      <c r="V93" s="8"/>
      <c r="W93" s="8"/>
      <c r="X93" s="64" t="s">
        <v>53</v>
      </c>
      <c r="Y93" s="14">
        <f>((AA54*10)+(AA55*10)+(AA56*10)+(AA57*5)+(AA58*15)+(AA59*24)+(AA60*10)+AA61)-((((AB54+AB55+AB56+AB57)/5)*14)+(AB58*6.5)+(AB59*15)+(AB60*8)+(0+0+0+0))</f>
        <v>0</v>
      </c>
      <c r="Z93" s="14">
        <f>SUM(AA64:AA71)</f>
        <v>0</v>
      </c>
      <c r="AA93" s="15">
        <f t="shared" si="2"/>
        <v>0</v>
      </c>
      <c r="AB93" s="85"/>
      <c r="AC93" s="8"/>
      <c r="AD93" s="15"/>
      <c r="AE93" s="19">
        <f t="shared" si="3"/>
        <v>0</v>
      </c>
    </row>
    <row r="94" spans="1:31" ht="14.45" customHeight="1">
      <c r="A94" s="373"/>
      <c r="B94" s="374"/>
      <c r="C94" s="374"/>
      <c r="D94" s="374"/>
      <c r="E94" s="374"/>
      <c r="F94" s="374"/>
      <c r="G94" s="374"/>
      <c r="H94" s="374"/>
      <c r="I94" s="374"/>
      <c r="J94" s="374"/>
      <c r="K94" s="374"/>
      <c r="L94" s="5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6" t="s">
        <v>54</v>
      </c>
      <c r="Y94" s="14">
        <f>((AB54*10)+(AB55*10)+(AB56*10)+(AB57*5)+(AB58*15)+(AB59*24)+(AB60*10)+AB61)-((((AC54+AC55+AC56+AC57)/5)*14)+(AC58*6.5)+(AC59*15)+(AC60*8)+(0+0+0+0))</f>
        <v>0</v>
      </c>
      <c r="Z94" s="14">
        <f>SUM(AB64:AB71)</f>
        <v>0</v>
      </c>
      <c r="AA94" s="15">
        <f t="shared" si="2"/>
        <v>0</v>
      </c>
      <c r="AB94" s="87"/>
      <c r="AC94" s="8"/>
      <c r="AD94" s="15"/>
      <c r="AE94" s="19">
        <f t="shared" si="3"/>
        <v>0</v>
      </c>
    </row>
    <row r="95" spans="1:31" ht="10.5">
      <c r="X95" s="88" t="s">
        <v>55</v>
      </c>
      <c r="Y95" s="14">
        <f>((AC54*10)+(AC55*10)+(AC56*10)+(AC57*5)+(AC58*15)+(AC59*24)+(AC60*10)+AC61)-((((AD54+AD55+AD56+AD57)/5)*14)+(AD58*6.5)+(AD59*15)+(AD60*8)+(0+0+0+0))</f>
        <v>0</v>
      </c>
      <c r="Z95" s="14">
        <f>SUM(AC64:AC71)</f>
        <v>0</v>
      </c>
      <c r="AA95" s="15">
        <f t="shared" si="2"/>
        <v>0</v>
      </c>
      <c r="AB95" s="89"/>
      <c r="AC95" s="8"/>
      <c r="AD95" s="90"/>
      <c r="AE95" s="19">
        <f t="shared" si="3"/>
        <v>0</v>
      </c>
    </row>
    <row r="96" spans="1:31" ht="10.5">
      <c r="X96" s="66" t="s">
        <v>56</v>
      </c>
      <c r="Y96" s="14">
        <f>((AD54*10)+(AD55*10)+(AD56*10)+(AD57*5)+(AD58*15)+(AD59*24)+(AD60*10)+AD61)-((((Y54+Y55+Y56+Y57)/5)*14)+(Y58*6.5)+(Y59*15)+(Y60*8)+(0+0+0+0))</f>
        <v>0</v>
      </c>
      <c r="Z96" s="14">
        <f>SUM(AD64:AD71)</f>
        <v>0</v>
      </c>
      <c r="AA96" s="15">
        <f t="shared" si="2"/>
        <v>0</v>
      </c>
      <c r="AB96" s="91"/>
      <c r="AC96" s="8"/>
      <c r="AD96" s="15"/>
      <c r="AE96" s="19">
        <f t="shared" si="3"/>
        <v>0</v>
      </c>
    </row>
    <row r="97" spans="24:31" ht="10.5">
      <c r="X97" s="92" t="s">
        <v>57</v>
      </c>
      <c r="Y97" s="14">
        <f>SUM(AE54:AE61)</f>
        <v>0</v>
      </c>
      <c r="Z97" s="14">
        <f>SUM(AE64:AE71)</f>
        <v>0</v>
      </c>
      <c r="AA97" s="15">
        <f t="shared" si="2"/>
        <v>0</v>
      </c>
      <c r="AB97" s="91"/>
      <c r="AC97" s="8"/>
      <c r="AD97" s="15"/>
      <c r="AE97" s="19">
        <f t="shared" si="3"/>
        <v>0</v>
      </c>
    </row>
    <row r="98" spans="24:31" ht="10.5">
      <c r="X98" s="93" t="s">
        <v>58</v>
      </c>
      <c r="Y98" s="16">
        <f>SUM(Y91:Y97)</f>
        <v>0</v>
      </c>
      <c r="Z98" s="94">
        <f>SUM(Z91:Z97)</f>
        <v>0</v>
      </c>
      <c r="AA98" s="95">
        <f>SUM(AA89,AA91:AA97)</f>
        <v>0</v>
      </c>
      <c r="AB98" s="96">
        <v>5</v>
      </c>
      <c r="AC98" s="97">
        <f>AVERAGE(AC91:AC97)</f>
        <v>8</v>
      </c>
      <c r="AD98" s="94">
        <f>AE89+Y98-Z98</f>
        <v>1774.5</v>
      </c>
      <c r="AE98" s="98"/>
    </row>
    <row r="120" spans="2:15" ht="10.5">
      <c r="B120" s="4" t="s">
        <v>59</v>
      </c>
      <c r="H120" s="4">
        <v>20</v>
      </c>
      <c r="K120" s="4">
        <v>40</v>
      </c>
      <c r="M120" s="4">
        <v>25</v>
      </c>
      <c r="O120" s="4">
        <v>32</v>
      </c>
    </row>
    <row r="123" spans="2:15" ht="10.5">
      <c r="H123" s="38"/>
    </row>
    <row r="124" spans="2:15" ht="10.5">
      <c r="M124" s="38"/>
    </row>
    <row r="125" spans="2:15" ht="10.5">
      <c r="K125" s="38"/>
      <c r="O125" s="38"/>
    </row>
    <row r="127" spans="2:15" ht="10.5">
      <c r="H127" s="4">
        <v>7</v>
      </c>
      <c r="K127" s="4">
        <v>7</v>
      </c>
      <c r="M127" s="4">
        <v>7</v>
      </c>
      <c r="O127" s="4">
        <v>7</v>
      </c>
    </row>
  </sheetData>
  <mergeCells count="37">
    <mergeCell ref="A6:A7"/>
    <mergeCell ref="I6:I7"/>
    <mergeCell ref="K6:K7"/>
    <mergeCell ref="A1:J1"/>
    <mergeCell ref="N2:O2"/>
    <mergeCell ref="J2:L2"/>
    <mergeCell ref="G6:H7"/>
    <mergeCell ref="D6:F7"/>
    <mergeCell ref="A93:K94"/>
    <mergeCell ref="A91:K92"/>
    <mergeCell ref="A89:K90"/>
    <mergeCell ref="A87:K88"/>
    <mergeCell ref="A85:K86"/>
    <mergeCell ref="AA88:AE88"/>
    <mergeCell ref="X84:AE85"/>
    <mergeCell ref="X86:Y87"/>
    <mergeCell ref="Z86:Z87"/>
    <mergeCell ref="AA86:AB87"/>
    <mergeCell ref="AC86:AC87"/>
    <mergeCell ref="AD86:AD87"/>
    <mergeCell ref="AE86:AE87"/>
    <mergeCell ref="V17:W18"/>
    <mergeCell ref="L18:L19"/>
    <mergeCell ref="A83:K84"/>
    <mergeCell ref="L6:L7"/>
    <mergeCell ref="J6:J7"/>
    <mergeCell ref="B6:B7"/>
    <mergeCell ref="U17:U18"/>
    <mergeCell ref="I8:I9"/>
    <mergeCell ref="L8:L11"/>
    <mergeCell ref="C6:C7"/>
    <mergeCell ref="H8:H9"/>
    <mergeCell ref="K8:K9"/>
    <mergeCell ref="J8:J9"/>
    <mergeCell ref="B20:C20"/>
    <mergeCell ref="D20:E20"/>
    <mergeCell ref="F20:G20"/>
  </mergeCells>
  <conditionalFormatting sqref="F20:G20">
    <cfRule type="expression" dxfId="0" priority="1" stopIfTrue="1">
      <formula>$F$20&lt;850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C05B32A-1278-4BB7-B8AD-6E2F821E9DB3}">
            <x14:iconSet iconSet="3Stars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</x14:iconSet>
          </x14:cfRule>
          <xm:sqref>Z19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3762-96CC-4CC9-95CF-71840F3D3227}">
  <dimension ref="A1:P17"/>
  <sheetViews>
    <sheetView tabSelected="1" zoomScale="85" zoomScaleNormal="85" workbookViewId="0">
      <selection activeCell="C19" sqref="C19"/>
    </sheetView>
  </sheetViews>
  <sheetFormatPr defaultColWidth="10.85546875" defaultRowHeight="14.45"/>
  <cols>
    <col min="1" max="1" width="17.85546875" style="26" customWidth="1"/>
    <col min="2" max="2" width="16.140625" style="26" customWidth="1"/>
    <col min="3" max="3" width="13.85546875" style="26" customWidth="1"/>
    <col min="4" max="4" width="15" style="26" customWidth="1"/>
    <col min="5" max="16384" width="10.85546875" style="26"/>
  </cols>
  <sheetData>
    <row r="1" spans="1:16" ht="17.25" customHeight="1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79"/>
      <c r="K1" s="318"/>
      <c r="L1" s="318"/>
      <c r="M1" s="319"/>
      <c r="N1" s="320" t="s">
        <v>1</v>
      </c>
      <c r="O1" s="320" t="s">
        <v>2</v>
      </c>
      <c r="P1" s="13"/>
    </row>
    <row r="2" spans="1:16" ht="14.45" customHeight="1">
      <c r="A2" s="321"/>
      <c r="B2" s="322"/>
      <c r="C2" s="322"/>
      <c r="D2" s="322"/>
      <c r="E2" s="322"/>
      <c r="F2" s="322"/>
      <c r="G2" s="322"/>
      <c r="H2" s="322"/>
      <c r="I2" s="381">
        <f ca="1">TODAY()</f>
        <v>45640</v>
      </c>
      <c r="J2" s="381"/>
      <c r="K2" s="381"/>
      <c r="L2" s="381"/>
      <c r="M2" s="318">
        <f ca="1">Points!I16</f>
        <v>1736</v>
      </c>
      <c r="N2" s="380" t="s">
        <v>60</v>
      </c>
      <c r="O2" s="380"/>
      <c r="P2" s="13"/>
    </row>
    <row r="3" spans="1:16" ht="14.45" customHeight="1">
      <c r="A3" s="314"/>
      <c r="B3" s="317"/>
      <c r="C3" s="317"/>
      <c r="D3" s="317"/>
      <c r="E3" s="317"/>
      <c r="F3" s="317"/>
      <c r="G3" s="317"/>
      <c r="H3" s="317"/>
      <c r="I3" s="317"/>
      <c r="J3" s="315"/>
      <c r="K3" s="315"/>
      <c r="L3" s="315"/>
      <c r="M3" s="313"/>
      <c r="N3" s="316"/>
      <c r="O3" s="316"/>
      <c r="P3" s="13"/>
    </row>
    <row r="4" spans="1:16" ht="15">
      <c r="J4" s="102"/>
      <c r="K4" s="102"/>
    </row>
    <row r="5" spans="1:16" ht="14.45" customHeight="1">
      <c r="I5" s="102"/>
      <c r="J5" s="386"/>
      <c r="K5" s="386"/>
      <c r="L5" s="102"/>
    </row>
    <row r="6" spans="1:16" ht="14.45" customHeight="1">
      <c r="A6" s="117"/>
      <c r="B6" s="117"/>
      <c r="C6" s="117"/>
      <c r="D6" s="388" t="s">
        <v>61</v>
      </c>
      <c r="E6" s="389"/>
      <c r="F6" s="388" t="s">
        <v>62</v>
      </c>
      <c r="G6" s="389"/>
      <c r="H6" s="117"/>
      <c r="I6" s="307"/>
      <c r="J6" s="387"/>
      <c r="K6" s="387"/>
      <c r="L6" s="102"/>
    </row>
    <row r="7" spans="1:16" ht="14.45" customHeight="1">
      <c r="A7" s="394" t="s">
        <v>63</v>
      </c>
      <c r="B7" s="394" t="s">
        <v>64</v>
      </c>
      <c r="C7" s="396" t="s">
        <v>65</v>
      </c>
      <c r="D7" s="390"/>
      <c r="E7" s="391"/>
      <c r="F7" s="390"/>
      <c r="G7" s="391"/>
      <c r="H7" s="398" t="s">
        <v>66</v>
      </c>
      <c r="I7" s="399"/>
      <c r="J7" s="401" t="s">
        <v>67</v>
      </c>
      <c r="K7" s="402"/>
      <c r="L7" s="102"/>
    </row>
    <row r="8" spans="1:16" ht="14.45" customHeight="1">
      <c r="A8" s="395"/>
      <c r="B8" s="395"/>
      <c r="C8" s="397"/>
      <c r="D8" s="392"/>
      <c r="E8" s="393"/>
      <c r="F8" s="392"/>
      <c r="G8" s="393"/>
      <c r="H8" s="400"/>
      <c r="I8" s="387"/>
      <c r="J8" s="305">
        <f>'Tabla Histórica'!M35</f>
        <v>949.46999999999935</v>
      </c>
      <c r="K8" s="306">
        <f>'Tabla Histórica'!N35</f>
        <v>0.25999999999999801</v>
      </c>
      <c r="L8" s="102"/>
    </row>
    <row r="9" spans="1:16" ht="14.45" customHeight="1">
      <c r="A9" s="122">
        <v>45625</v>
      </c>
      <c r="B9" s="231">
        <f>A9+6</f>
        <v>45631</v>
      </c>
      <c r="C9" s="539">
        <v>6</v>
      </c>
      <c r="D9" s="118">
        <v>3424.56</v>
      </c>
      <c r="E9" s="118">
        <v>20</v>
      </c>
      <c r="F9" s="119">
        <f t="shared" ref="F9:G11" si="0">D9/C9</f>
        <v>570.76</v>
      </c>
      <c r="G9" s="119">
        <f>E9/D9</f>
        <v>5.8401663279370195E-3</v>
      </c>
      <c r="H9" s="119">
        <v>4200</v>
      </c>
      <c r="I9" s="299">
        <v>3</v>
      </c>
      <c r="J9" s="301">
        <f t="shared" ref="J9:K12" si="1">J8+D9-H9</f>
        <v>174.02999999999884</v>
      </c>
      <c r="K9" s="302">
        <f t="shared" si="1"/>
        <v>17.259999999999998</v>
      </c>
      <c r="L9" s="300">
        <f>J8+J9</f>
        <v>1123.4999999999982</v>
      </c>
    </row>
    <row r="10" spans="1:16" ht="14.45" customHeight="1">
      <c r="A10" s="215">
        <f>B9+1</f>
        <v>45632</v>
      </c>
      <c r="B10" s="232">
        <f>A10+6</f>
        <v>45638</v>
      </c>
      <c r="C10" s="540">
        <v>7</v>
      </c>
      <c r="D10" s="216">
        <v>3767.48</v>
      </c>
      <c r="E10" s="120">
        <v>4</v>
      </c>
      <c r="F10" s="120">
        <f t="shared" si="0"/>
        <v>538.21142857142854</v>
      </c>
      <c r="G10" s="120">
        <f t="shared" si="0"/>
        <v>1.0617176468090076E-3</v>
      </c>
      <c r="H10" s="120">
        <v>3911.5</v>
      </c>
      <c r="I10" s="216">
        <v>21</v>
      </c>
      <c r="J10" s="301">
        <f t="shared" si="1"/>
        <v>30.009999999998854</v>
      </c>
      <c r="K10" s="302">
        <f t="shared" si="1"/>
        <v>0.25999999999999801</v>
      </c>
      <c r="L10" s="300">
        <f>J9+J10</f>
        <v>204.03999999999769</v>
      </c>
    </row>
    <row r="11" spans="1:16" ht="14.45" customHeight="1">
      <c r="A11" s="215">
        <f>B10+1</f>
        <v>45639</v>
      </c>
      <c r="B11" s="232">
        <f>A11+6</f>
        <v>45645</v>
      </c>
      <c r="C11" s="540"/>
      <c r="D11" s="216"/>
      <c r="E11" s="120"/>
      <c r="F11" s="120" t="e">
        <f>D11/C11</f>
        <v>#DIV/0!</v>
      </c>
      <c r="G11" s="120" t="e">
        <f t="shared" si="0"/>
        <v>#DIV/0!</v>
      </c>
      <c r="H11" s="120"/>
      <c r="I11" s="216"/>
      <c r="J11" s="301">
        <f t="shared" si="1"/>
        <v>30.009999999998854</v>
      </c>
      <c r="K11" s="302">
        <f t="shared" si="1"/>
        <v>0.25999999999999801</v>
      </c>
      <c r="L11" s="300">
        <f>J10+J11</f>
        <v>60.019999999997708</v>
      </c>
    </row>
    <row r="12" spans="1:16" ht="14.45" customHeight="1">
      <c r="A12" s="215">
        <f>B11+1</f>
        <v>45646</v>
      </c>
      <c r="B12" s="232">
        <f>A12+6</f>
        <v>45652</v>
      </c>
      <c r="C12" s="540"/>
      <c r="D12" s="216"/>
      <c r="E12" s="216"/>
      <c r="F12" s="216" t="e">
        <f>D12/C12</f>
        <v>#DIV/0!</v>
      </c>
      <c r="G12" s="216" t="e">
        <f>D12/C12</f>
        <v>#DIV/0!</v>
      </c>
      <c r="H12" s="216"/>
      <c r="I12" s="216"/>
      <c r="J12" s="301">
        <f t="shared" si="1"/>
        <v>30.009999999998854</v>
      </c>
      <c r="K12" s="302">
        <f t="shared" si="1"/>
        <v>0.25999999999999801</v>
      </c>
      <c r="L12" s="300">
        <f>J11+J12</f>
        <v>60.019999999997708</v>
      </c>
      <c r="M12" s="186"/>
    </row>
    <row r="13" spans="1:16" ht="15">
      <c r="A13" s="233">
        <f>B12+1</f>
        <v>45653</v>
      </c>
      <c r="B13" s="234">
        <f>A13+6</f>
        <v>45659</v>
      </c>
      <c r="C13" s="541"/>
      <c r="D13" s="121"/>
      <c r="E13" s="121"/>
      <c r="F13" s="121" t="e">
        <f>D13/C13</f>
        <v>#DIV/0!</v>
      </c>
      <c r="G13" s="121" t="e">
        <f>E13/D13</f>
        <v>#DIV/0!</v>
      </c>
      <c r="H13" s="121"/>
      <c r="I13" s="121"/>
      <c r="J13" s="303">
        <f>J12+D13-H13</f>
        <v>30.009999999998854</v>
      </c>
      <c r="K13" s="304">
        <f>K12+E13-I13</f>
        <v>0.25999999999999801</v>
      </c>
      <c r="L13" s="300">
        <f>J12+J13</f>
        <v>60.019999999997708</v>
      </c>
      <c r="M13" s="186"/>
    </row>
    <row r="14" spans="1:16" ht="15">
      <c r="A14" s="228">
        <f>A9</f>
        <v>45625</v>
      </c>
      <c r="B14" s="215">
        <f>B13</f>
        <v>45659</v>
      </c>
      <c r="C14" s="285">
        <f>SUM(C9:C13)</f>
        <v>13</v>
      </c>
      <c r="D14" s="286">
        <f>SUM(D9:D13)</f>
        <v>7192.04</v>
      </c>
      <c r="E14" s="286">
        <f>SUM(E9:E13)</f>
        <v>24</v>
      </c>
      <c r="F14" s="286" t="e">
        <f>AVERAGE(F9:F12)</f>
        <v>#DIV/0!</v>
      </c>
      <c r="G14" s="286" t="e">
        <f>AVERAGE(G9:G12)</f>
        <v>#DIV/0!</v>
      </c>
      <c r="H14" s="286">
        <f>SUM(H9:H13)</f>
        <v>8111.5</v>
      </c>
      <c r="I14" s="286">
        <f>SUM(I9:I13)</f>
        <v>24</v>
      </c>
      <c r="J14" s="286">
        <f>J8+D14-H14</f>
        <v>30.009999999999309</v>
      </c>
      <c r="K14" s="286">
        <f>K8+E14-I14</f>
        <v>0.25999999999999801</v>
      </c>
      <c r="L14" s="102"/>
      <c r="M14" s="186"/>
    </row>
    <row r="15" spans="1:16" ht="14.45" customHeight="1">
      <c r="D15" s="188"/>
      <c r="E15" s="188"/>
      <c r="F15" s="188"/>
      <c r="G15" s="188"/>
      <c r="H15" s="188"/>
      <c r="I15" s="188"/>
      <c r="J15" s="287"/>
      <c r="K15" s="102"/>
      <c r="M15" s="186"/>
    </row>
    <row r="16" spans="1:16" ht="15">
      <c r="C16" s="200"/>
      <c r="D16" s="200">
        <f>Coins!B19</f>
        <v>4169.9799999999996</v>
      </c>
      <c r="E16" s="200">
        <f>Coins!D19</f>
        <v>16</v>
      </c>
      <c r="F16" s="200"/>
      <c r="G16" s="200"/>
      <c r="H16" s="200">
        <f>Coins!C19</f>
        <v>3301</v>
      </c>
      <c r="I16" s="200">
        <f>Coins!E19</f>
        <v>0</v>
      </c>
      <c r="J16" s="200"/>
      <c r="K16" s="200"/>
    </row>
    <row r="17" spans="3:11" ht="15">
      <c r="C17" s="200"/>
      <c r="D17" s="200"/>
      <c r="E17" s="200"/>
      <c r="F17" s="200"/>
      <c r="G17" s="200"/>
      <c r="H17" s="200"/>
      <c r="I17" s="200"/>
      <c r="J17" s="200"/>
      <c r="K17" s="200"/>
    </row>
  </sheetData>
  <mergeCells count="11">
    <mergeCell ref="N2:O2"/>
    <mergeCell ref="A1:J1"/>
    <mergeCell ref="J5:K6"/>
    <mergeCell ref="D6:E8"/>
    <mergeCell ref="F6:G8"/>
    <mergeCell ref="A7:A8"/>
    <mergeCell ref="B7:B8"/>
    <mergeCell ref="C7:C8"/>
    <mergeCell ref="H7:I8"/>
    <mergeCell ref="J7:K7"/>
    <mergeCell ref="I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1E78-EE64-48BE-AE13-F0FC7EF6C84A}">
  <dimension ref="A1:O58"/>
  <sheetViews>
    <sheetView topLeftCell="A4" zoomScale="86" zoomScaleNormal="86" workbookViewId="0">
      <selection activeCell="F10" sqref="F10"/>
    </sheetView>
  </sheetViews>
  <sheetFormatPr defaultColWidth="10.85546875" defaultRowHeight="10.5"/>
  <cols>
    <col min="1" max="1" width="3.5703125" style="106" customWidth="1"/>
    <col min="2" max="9" width="15.5703125" style="106" customWidth="1"/>
    <col min="10" max="10" width="12.7109375" style="106" customWidth="1"/>
    <col min="11" max="16384" width="10.85546875" style="106"/>
  </cols>
  <sheetData>
    <row r="1" spans="1:15" ht="15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79"/>
      <c r="K1" s="318"/>
      <c r="L1" s="318"/>
      <c r="M1" s="319"/>
      <c r="N1" s="320" t="s">
        <v>1</v>
      </c>
      <c r="O1" s="320" t="s">
        <v>2</v>
      </c>
    </row>
    <row r="2" spans="1:15" ht="15">
      <c r="A2" s="321"/>
      <c r="B2" s="322"/>
      <c r="C2" s="322"/>
      <c r="D2" s="322"/>
      <c r="E2" s="322"/>
      <c r="F2" s="322"/>
      <c r="G2" s="322"/>
      <c r="H2" s="322"/>
      <c r="I2" s="322"/>
      <c r="J2" s="381">
        <f ca="1">TODAY()</f>
        <v>45640</v>
      </c>
      <c r="K2" s="381"/>
      <c r="L2" s="381"/>
      <c r="M2" s="318">
        <f ca="1">Points!I16</f>
        <v>1736</v>
      </c>
      <c r="N2" s="380" t="s">
        <v>60</v>
      </c>
      <c r="O2" s="380"/>
    </row>
    <row r="3" spans="1:15" ht="15">
      <c r="A3" s="213"/>
      <c r="B3" s="212"/>
      <c r="C3" s="212"/>
      <c r="D3" s="212"/>
      <c r="E3" s="212"/>
      <c r="F3" s="212"/>
      <c r="G3" s="212"/>
      <c r="H3" s="212"/>
      <c r="I3" s="212"/>
      <c r="J3" s="268"/>
      <c r="K3" s="268"/>
      <c r="L3" s="268"/>
      <c r="M3" s="241"/>
      <c r="N3" s="269"/>
      <c r="O3" s="269"/>
    </row>
    <row r="4" spans="1:15" ht="11.25"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5" ht="11.25"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</row>
    <row r="6" spans="1:15" ht="11.25"/>
    <row r="7" spans="1:15">
      <c r="B7" s="403" t="s">
        <v>36</v>
      </c>
      <c r="C7" s="403"/>
      <c r="D7" s="403"/>
      <c r="E7" s="403"/>
      <c r="F7" s="403"/>
      <c r="G7" s="403"/>
      <c r="H7" s="403"/>
      <c r="K7" s="106" t="s">
        <v>68</v>
      </c>
      <c r="M7" s="106" t="s">
        <v>69</v>
      </c>
      <c r="N7" s="106">
        <f>SUM(N9:N23)</f>
        <v>390</v>
      </c>
    </row>
    <row r="8" spans="1:15">
      <c r="C8" s="192" t="s">
        <v>70</v>
      </c>
      <c r="D8" s="192" t="s">
        <v>71</v>
      </c>
      <c r="E8" s="192" t="s">
        <v>72</v>
      </c>
      <c r="F8" s="192" t="s">
        <v>73</v>
      </c>
      <c r="G8" s="192" t="s">
        <v>74</v>
      </c>
      <c r="H8" s="192" t="s">
        <v>75</v>
      </c>
      <c r="I8" s="404">
        <f>SUM(H9:H15)</f>
        <v>3945</v>
      </c>
      <c r="J8" s="106">
        <f>Week!J14</f>
        <v>30.009999999999309</v>
      </c>
      <c r="M8" s="106" t="s">
        <v>76</v>
      </c>
      <c r="N8" s="106">
        <v>150</v>
      </c>
    </row>
    <row r="9" spans="1:15" ht="11.25">
      <c r="B9" s="192" t="s">
        <v>25</v>
      </c>
      <c r="C9" s="191">
        <v>45</v>
      </c>
      <c r="D9" s="191">
        <v>25</v>
      </c>
      <c r="E9" s="191"/>
      <c r="F9" s="191">
        <v>2400</v>
      </c>
      <c r="G9" s="191">
        <v>495</v>
      </c>
      <c r="H9" s="191">
        <f>SUM(C9:G9)</f>
        <v>2965</v>
      </c>
      <c r="I9" s="404"/>
      <c r="J9" s="198">
        <f>J8-H9+K9</f>
        <v>1234.9899999999989</v>
      </c>
      <c r="K9" s="106">
        <v>4169.9799999999996</v>
      </c>
      <c r="M9" s="106" t="s">
        <v>77</v>
      </c>
      <c r="N9" s="106">
        <v>120</v>
      </c>
    </row>
    <row r="10" spans="1:15">
      <c r="B10" s="192" t="s">
        <v>27</v>
      </c>
      <c r="C10" s="191">
        <v>45</v>
      </c>
      <c r="D10" s="191">
        <v>415</v>
      </c>
      <c r="E10" s="191"/>
      <c r="F10" s="191"/>
      <c r="G10" s="191">
        <v>225</v>
      </c>
      <c r="H10" s="191">
        <f t="shared" ref="H10:H15" si="0">SUM(C10:G10)</f>
        <v>685</v>
      </c>
      <c r="I10" s="404"/>
      <c r="J10" s="198">
        <f t="shared" ref="J10:J15" si="1">J9-H10+K10</f>
        <v>549.98999999999887</v>
      </c>
      <c r="M10" s="106" t="s">
        <v>78</v>
      </c>
      <c r="N10" s="106">
        <v>30</v>
      </c>
    </row>
    <row r="11" spans="1:15">
      <c r="B11" s="192" t="s">
        <v>28</v>
      </c>
      <c r="C11" s="191"/>
      <c r="D11" s="191"/>
      <c r="E11" s="191"/>
      <c r="F11" s="191"/>
      <c r="G11" s="191"/>
      <c r="H11" s="191">
        <f t="shared" si="0"/>
        <v>0</v>
      </c>
      <c r="I11" s="404"/>
      <c r="J11" s="198">
        <f t="shared" si="1"/>
        <v>549.98999999999887</v>
      </c>
      <c r="M11" s="106" t="s">
        <v>79</v>
      </c>
      <c r="N11" s="106">
        <v>70</v>
      </c>
    </row>
    <row r="12" spans="1:15">
      <c r="B12" s="192" t="s">
        <v>30</v>
      </c>
      <c r="C12" s="191">
        <v>45</v>
      </c>
      <c r="D12" s="191">
        <v>25</v>
      </c>
      <c r="E12" s="191"/>
      <c r="F12" s="191"/>
      <c r="G12" s="191"/>
      <c r="H12" s="191">
        <f t="shared" si="0"/>
        <v>70</v>
      </c>
      <c r="I12" s="404"/>
      <c r="J12" s="198">
        <f t="shared" si="1"/>
        <v>479.98999999999887</v>
      </c>
      <c r="M12" s="106" t="s">
        <v>80</v>
      </c>
      <c r="N12" s="106">
        <v>80</v>
      </c>
    </row>
    <row r="13" spans="1:15">
      <c r="B13" s="192" t="s">
        <v>31</v>
      </c>
      <c r="C13" s="191">
        <v>45</v>
      </c>
      <c r="D13" s="191">
        <v>25</v>
      </c>
      <c r="E13" s="191"/>
      <c r="F13" s="191"/>
      <c r="G13" s="191"/>
      <c r="H13" s="191">
        <f t="shared" si="0"/>
        <v>70</v>
      </c>
      <c r="I13" s="404"/>
      <c r="J13" s="198">
        <f t="shared" si="1"/>
        <v>409.98999999999887</v>
      </c>
      <c r="M13" s="106" t="s">
        <v>81</v>
      </c>
      <c r="N13" s="106">
        <v>40</v>
      </c>
    </row>
    <row r="14" spans="1:15">
      <c r="B14" s="192" t="s">
        <v>33</v>
      </c>
      <c r="C14" s="191">
        <v>45</v>
      </c>
      <c r="D14" s="191">
        <v>25</v>
      </c>
      <c r="E14" s="191"/>
      <c r="F14" s="191"/>
      <c r="G14" s="191"/>
      <c r="H14" s="191">
        <f t="shared" si="0"/>
        <v>70</v>
      </c>
      <c r="I14" s="404"/>
      <c r="J14" s="198">
        <f t="shared" si="1"/>
        <v>339.98999999999887</v>
      </c>
      <c r="M14" s="106" t="s">
        <v>82</v>
      </c>
      <c r="N14" s="106">
        <v>50</v>
      </c>
    </row>
    <row r="15" spans="1:15">
      <c r="B15" s="192" t="s">
        <v>34</v>
      </c>
      <c r="C15" s="191">
        <v>60</v>
      </c>
      <c r="D15" s="191">
        <v>25</v>
      </c>
      <c r="E15" s="191"/>
      <c r="F15" s="191"/>
      <c r="G15" s="191"/>
      <c r="H15" s="191">
        <f t="shared" si="0"/>
        <v>85</v>
      </c>
      <c r="I15" s="404"/>
      <c r="J15" s="198">
        <f t="shared" si="1"/>
        <v>254.98999999999887</v>
      </c>
    </row>
    <row r="16" spans="1:15">
      <c r="B16" s="106" t="s">
        <v>83</v>
      </c>
      <c r="C16" s="198">
        <f>SUM(C9:C15)</f>
        <v>285</v>
      </c>
      <c r="D16" s="198">
        <f t="shared" ref="D16:H16" si="2">SUM(D9:D15)</f>
        <v>540</v>
      </c>
      <c r="E16" s="198">
        <f t="shared" si="2"/>
        <v>0</v>
      </c>
      <c r="F16" s="198">
        <f t="shared" si="2"/>
        <v>2400</v>
      </c>
      <c r="G16" s="198">
        <f t="shared" si="2"/>
        <v>720</v>
      </c>
      <c r="H16" s="198"/>
    </row>
    <row r="17" spans="9:9">
      <c r="I17" s="106" t="s">
        <v>36</v>
      </c>
    </row>
    <row r="34" spans="2:14" ht="11.25"/>
    <row r="35" spans="2:14" ht="15"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</row>
    <row r="36" spans="2:14" ht="15"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</row>
    <row r="37" spans="2:14" ht="15"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</row>
    <row r="38" spans="2:14" ht="15"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</row>
    <row r="39" spans="2:14" ht="15"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</row>
    <row r="40" spans="2:14" ht="15"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</row>
    <row r="41" spans="2:14" ht="15"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</row>
    <row r="42" spans="2:14" ht="15"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</row>
    <row r="43" spans="2:14" ht="15"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</row>
    <row r="44" spans="2:14" ht="15"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</row>
    <row r="45" spans="2:14" ht="15"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</row>
    <row r="46" spans="2:14" ht="15"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</row>
    <row r="47" spans="2:14" ht="15"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</row>
    <row r="48" spans="2:14" ht="15"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</row>
    <row r="49" spans="2:14" ht="15"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</row>
    <row r="50" spans="2:14" ht="15"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</row>
    <row r="51" spans="2:14" ht="15"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</row>
    <row r="52" spans="2:14" ht="15"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</row>
    <row r="53" spans="2:14" ht="15"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</row>
    <row r="54" spans="2:14" ht="15"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</row>
    <row r="55" spans="2:14" ht="15"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</row>
    <row r="56" spans="2:14" ht="15"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</row>
    <row r="57" spans="2:14" ht="15"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</row>
    <row r="58" spans="2:14" ht="11.25"/>
  </sheetData>
  <mergeCells count="5">
    <mergeCell ref="B7:H7"/>
    <mergeCell ref="I8:I15"/>
    <mergeCell ref="A1:J1"/>
    <mergeCell ref="J2:L2"/>
    <mergeCell ref="N2:O2"/>
  </mergeCells>
  <phoneticPr fontId="3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725A-C0F4-42C4-BBA9-397D992824F7}">
  <dimension ref="A1:S124"/>
  <sheetViews>
    <sheetView zoomScale="85" zoomScaleNormal="85" workbookViewId="0">
      <selection activeCell="I9" sqref="I9"/>
    </sheetView>
  </sheetViews>
  <sheetFormatPr defaultColWidth="10.85546875" defaultRowHeight="11.25" customHeight="1"/>
  <cols>
    <col min="1" max="1" width="10.85546875" style="4"/>
    <col min="2" max="11" width="13.5703125" style="4" customWidth="1"/>
    <col min="12" max="12" width="12.42578125" style="4" customWidth="1"/>
    <col min="13" max="13" width="14.42578125" style="4" customWidth="1"/>
    <col min="14" max="18" width="13.5703125" style="4" customWidth="1"/>
    <col min="19" max="19" width="16" style="4" customWidth="1"/>
    <col min="20" max="29" width="13.5703125" style="4" customWidth="1"/>
    <col min="30" max="16384" width="10.85546875" style="4"/>
  </cols>
  <sheetData>
    <row r="1" spans="1:19" ht="15.95" customHeight="1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79"/>
      <c r="K1" s="318"/>
      <c r="L1" s="318" t="s">
        <v>1</v>
      </c>
      <c r="M1" s="319" t="s">
        <v>2</v>
      </c>
      <c r="N1" s="13"/>
      <c r="O1" s="13"/>
    </row>
    <row r="2" spans="1:19" ht="15.95" customHeight="1">
      <c r="A2" s="321"/>
      <c r="B2" s="322"/>
      <c r="C2" s="322"/>
      <c r="D2" s="322"/>
      <c r="E2" s="405"/>
      <c r="F2" s="405"/>
      <c r="G2" s="405"/>
      <c r="H2" s="405"/>
      <c r="I2" s="405"/>
      <c r="J2" s="381">
        <f ca="1">TODAY()</f>
        <v>45640</v>
      </c>
      <c r="K2" s="381">
        <f ca="1">I16</f>
        <v>1736</v>
      </c>
      <c r="L2" s="381" t="s">
        <v>84</v>
      </c>
      <c r="M2" s="318"/>
      <c r="N2" s="13"/>
      <c r="O2" s="13"/>
    </row>
    <row r="3" spans="1:19" ht="15.95" customHeight="1">
      <c r="A3" s="13"/>
      <c r="B3" s="13"/>
      <c r="C3" s="13"/>
      <c r="D3" s="260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9" ht="15.95" customHeight="1">
      <c r="D4" s="8"/>
    </row>
    <row r="5" spans="1:19" ht="15.95" customHeight="1">
      <c r="A5" s="18" t="s">
        <v>85</v>
      </c>
      <c r="B5" s="24">
        <v>8.6</v>
      </c>
      <c r="D5" s="61" t="s">
        <v>86</v>
      </c>
      <c r="E5" s="17" t="s">
        <v>48</v>
      </c>
      <c r="F5" s="420" t="s">
        <v>87</v>
      </c>
      <c r="G5" s="421"/>
      <c r="H5" s="421"/>
      <c r="I5" s="421"/>
      <c r="J5" s="421"/>
      <c r="K5" s="422"/>
      <c r="L5" s="417" t="s">
        <v>88</v>
      </c>
      <c r="M5" s="418"/>
      <c r="N5" s="418"/>
      <c r="O5" s="418"/>
      <c r="P5" s="418"/>
      <c r="Q5" s="419"/>
      <c r="R5" s="409">
        <f>Coins!L8/Coins!E9/Coins!K19</f>
        <v>32.653836705883677</v>
      </c>
      <c r="S5" s="409">
        <f>R5+(R5*(F10/100))-(R5*(L10/100))</f>
        <v>32.653836705883677</v>
      </c>
    </row>
    <row r="6" spans="1:19" ht="15.95" customHeight="1">
      <c r="A6" s="8"/>
      <c r="B6" s="8"/>
      <c r="D6" s="62" t="s">
        <v>89</v>
      </c>
      <c r="E6" s="63">
        <v>9</v>
      </c>
      <c r="F6" s="25" t="s">
        <v>90</v>
      </c>
      <c r="G6" s="20" t="s">
        <v>91</v>
      </c>
      <c r="H6" s="20" t="s">
        <v>92</v>
      </c>
      <c r="I6" s="20" t="s">
        <v>93</v>
      </c>
      <c r="J6" s="20" t="s">
        <v>94</v>
      </c>
      <c r="K6" s="20" t="s">
        <v>95</v>
      </c>
      <c r="L6" s="239" t="s">
        <v>92</v>
      </c>
      <c r="M6" s="20" t="s">
        <v>93</v>
      </c>
      <c r="N6" s="20" t="s">
        <v>94</v>
      </c>
      <c r="O6" s="20" t="s">
        <v>95</v>
      </c>
      <c r="P6" s="20" t="s">
        <v>90</v>
      </c>
      <c r="Q6" s="214" t="s">
        <v>91</v>
      </c>
      <c r="R6" s="410"/>
      <c r="S6" s="410"/>
    </row>
    <row r="7" spans="1:19" ht="15.95" customHeight="1">
      <c r="A7" s="8" t="s">
        <v>25</v>
      </c>
      <c r="B7" s="21">
        <v>10</v>
      </c>
      <c r="D7" s="64" t="s">
        <v>96</v>
      </c>
      <c r="E7" s="65">
        <v>9</v>
      </c>
      <c r="F7" s="298"/>
      <c r="G7" s="250">
        <v>1</v>
      </c>
      <c r="H7" s="250"/>
      <c r="I7" s="250">
        <v>1</v>
      </c>
      <c r="J7" s="250">
        <v>1</v>
      </c>
      <c r="K7" s="250">
        <v>1</v>
      </c>
      <c r="L7" s="251">
        <v>1</v>
      </c>
      <c r="M7" s="250">
        <v>1</v>
      </c>
      <c r="N7" s="250"/>
      <c r="O7" s="250">
        <v>2</v>
      </c>
      <c r="P7" s="250">
        <v>1</v>
      </c>
      <c r="Q7" s="252">
        <v>1</v>
      </c>
      <c r="R7" s="410"/>
      <c r="S7" s="410"/>
    </row>
    <row r="8" spans="1:19" ht="15.95" customHeight="1">
      <c r="A8" s="8" t="s">
        <v>27</v>
      </c>
      <c r="B8" s="22"/>
      <c r="D8" s="64" t="s">
        <v>97</v>
      </c>
      <c r="E8" s="65">
        <v>9</v>
      </c>
      <c r="F8" s="250"/>
      <c r="G8" s="250">
        <v>30</v>
      </c>
      <c r="H8" s="250">
        <v>60</v>
      </c>
      <c r="I8" s="250">
        <v>70</v>
      </c>
      <c r="J8" s="250">
        <v>50</v>
      </c>
      <c r="K8" s="250">
        <v>100</v>
      </c>
      <c r="L8" s="251">
        <v>20</v>
      </c>
      <c r="M8" s="250">
        <v>20</v>
      </c>
      <c r="N8" s="250">
        <v>20</v>
      </c>
      <c r="O8" s="253">
        <v>60</v>
      </c>
      <c r="P8" s="253">
        <v>70</v>
      </c>
      <c r="Q8" s="254">
        <v>20</v>
      </c>
      <c r="R8" s="410"/>
      <c r="S8" s="410"/>
    </row>
    <row r="9" spans="1:19" ht="15.95" customHeight="1">
      <c r="A9" s="8" t="s">
        <v>28</v>
      </c>
      <c r="B9" s="22"/>
      <c r="D9" s="11"/>
      <c r="E9" s="65">
        <f>AVERAGE(E6:E8)</f>
        <v>9</v>
      </c>
      <c r="F9" s="250">
        <f t="shared" ref="F9:Q9" si="0">F7*F8</f>
        <v>0</v>
      </c>
      <c r="G9" s="250">
        <f t="shared" si="0"/>
        <v>30</v>
      </c>
      <c r="H9" s="250">
        <f t="shared" si="0"/>
        <v>0</v>
      </c>
      <c r="I9" s="250">
        <f t="shared" si="0"/>
        <v>70</v>
      </c>
      <c r="J9" s="250">
        <f t="shared" si="0"/>
        <v>50</v>
      </c>
      <c r="K9" s="250">
        <f t="shared" si="0"/>
        <v>100</v>
      </c>
      <c r="L9" s="251">
        <f t="shared" si="0"/>
        <v>20</v>
      </c>
      <c r="M9" s="250">
        <f t="shared" si="0"/>
        <v>20</v>
      </c>
      <c r="N9" s="250">
        <f t="shared" si="0"/>
        <v>0</v>
      </c>
      <c r="O9" s="250">
        <f t="shared" si="0"/>
        <v>120</v>
      </c>
      <c r="P9" s="250">
        <f t="shared" si="0"/>
        <v>70</v>
      </c>
      <c r="Q9" s="250">
        <f t="shared" si="0"/>
        <v>20</v>
      </c>
      <c r="R9" s="410"/>
      <c r="S9" s="410"/>
    </row>
    <row r="10" spans="1:19" ht="15.95" customHeight="1">
      <c r="A10" s="8" t="s">
        <v>30</v>
      </c>
      <c r="B10" s="22"/>
      <c r="D10" s="66" t="s">
        <v>98</v>
      </c>
      <c r="E10" s="65">
        <v>7</v>
      </c>
      <c r="F10" s="423">
        <f>AVERAGE(F9:K9)</f>
        <v>41.666666666666664</v>
      </c>
      <c r="G10" s="424"/>
      <c r="H10" s="424"/>
      <c r="I10" s="424"/>
      <c r="J10" s="424"/>
      <c r="K10" s="425"/>
      <c r="L10" s="414">
        <f>AVERAGE(L9:Q9)</f>
        <v>41.666666666666664</v>
      </c>
      <c r="M10" s="415"/>
      <c r="N10" s="415"/>
      <c r="O10" s="415"/>
      <c r="P10" s="415"/>
      <c r="Q10" s="416"/>
      <c r="R10" s="411"/>
      <c r="S10" s="411"/>
    </row>
    <row r="11" spans="1:19" ht="15.95" customHeight="1">
      <c r="A11" s="8" t="s">
        <v>31</v>
      </c>
      <c r="B11" s="22"/>
      <c r="D11" s="66"/>
      <c r="E11" s="243">
        <f>AVERAGE(E9:E10)</f>
        <v>8</v>
      </c>
      <c r="F11" s="249"/>
      <c r="J11" s="102"/>
      <c r="K11" s="26"/>
      <c r="L11" s="26"/>
      <c r="M11" s="26"/>
    </row>
    <row r="12" spans="1:19" ht="15.95" customHeight="1" thickBot="1">
      <c r="A12" s="8" t="s">
        <v>33</v>
      </c>
      <c r="B12" s="22"/>
      <c r="D12" s="67"/>
      <c r="E12" s="70" cm="1">
        <f t="array" ref="E12">_xlfn.IFS(E11&lt;=1,10,E11&lt;=2,9,E11&lt;=3,8,E11&lt;=4,7,E11&lt;=5,6,E11&lt;=6,5,E11&lt;=7,4,E11&lt;=8,3,E11&lt;=9,2,E11&lt;=10,1)</f>
        <v>3</v>
      </c>
      <c r="F12" s="103"/>
      <c r="H12" s="8"/>
      <c r="I12" s="297"/>
      <c r="J12" s="102"/>
      <c r="K12" s="26"/>
      <c r="L12" s="26"/>
      <c r="M12" s="26"/>
      <c r="Q12" s="8"/>
    </row>
    <row r="13" spans="1:19" ht="15.95" customHeight="1">
      <c r="A13" s="8" t="s">
        <v>34</v>
      </c>
      <c r="B13" s="23"/>
      <c r="D13" s="8"/>
      <c r="J13" s="102"/>
      <c r="K13" s="26"/>
      <c r="L13" s="26"/>
      <c r="M13" s="26"/>
      <c r="Q13" s="8"/>
    </row>
    <row r="14" spans="1:19" ht="15.95" customHeight="1">
      <c r="A14" s="8"/>
      <c r="B14" s="288">
        <f>AVERAGE(B7:B13)</f>
        <v>10</v>
      </c>
      <c r="D14" s="8"/>
      <c r="E14" s="9"/>
      <c r="F14" s="9"/>
      <c r="G14" s="9"/>
      <c r="H14" s="36"/>
      <c r="I14" s="103"/>
      <c r="J14" s="102"/>
      <c r="K14" s="26"/>
      <c r="L14" s="26"/>
      <c r="M14" s="26"/>
      <c r="Q14" s="8"/>
    </row>
    <row r="15" spans="1:19" ht="15.95" customHeight="1">
      <c r="D15" s="8"/>
      <c r="E15" s="9"/>
      <c r="F15" s="9"/>
      <c r="G15" s="9"/>
      <c r="H15" s="107">
        <v>45568</v>
      </c>
      <c r="I15" s="327"/>
      <c r="M15" s="26"/>
      <c r="N15" s="8"/>
      <c r="O15" s="8"/>
      <c r="P15" s="8"/>
      <c r="Q15" s="8"/>
    </row>
    <row r="16" spans="1:19" ht="15.95" customHeight="1">
      <c r="B16" s="8"/>
      <c r="C16" s="107"/>
      <c r="D16" s="8"/>
      <c r="E16" s="9"/>
      <c r="F16" s="9"/>
      <c r="G16" s="9"/>
      <c r="H16" s="99">
        <v>43904</v>
      </c>
      <c r="I16" s="328">
        <f ca="1">J2-H16</f>
        <v>1736</v>
      </c>
      <c r="J16" s="43" t="s">
        <v>99</v>
      </c>
      <c r="K16" s="44">
        <f ca="1">H16+I16</f>
        <v>45640</v>
      </c>
      <c r="L16" s="45">
        <f>SUM(L17:L19)</f>
        <v>325799475</v>
      </c>
      <c r="M16" s="26"/>
      <c r="N16" s="8"/>
      <c r="O16" s="8"/>
      <c r="P16" s="8"/>
      <c r="Q16" s="8"/>
    </row>
    <row r="17" spans="1:17" ht="15.95" customHeight="1">
      <c r="B17" s="8"/>
      <c r="C17" s="8"/>
      <c r="D17" s="8"/>
      <c r="E17" s="9"/>
      <c r="F17" s="9"/>
      <c r="G17" s="9"/>
      <c r="H17" s="100">
        <v>43011</v>
      </c>
      <c r="I17" s="328">
        <f ca="1">J2-H17</f>
        <v>2629</v>
      </c>
      <c r="J17" s="47" t="s">
        <v>100</v>
      </c>
      <c r="K17" s="44">
        <f ca="1">H17+I17</f>
        <v>45640</v>
      </c>
      <c r="L17" s="48">
        <v>20145796</v>
      </c>
      <c r="M17" s="26"/>
      <c r="N17" s="8"/>
      <c r="O17" s="8"/>
      <c r="P17" s="8"/>
      <c r="Q17" s="8"/>
    </row>
    <row r="18" spans="1:17" ht="15.95" customHeight="1">
      <c r="B18" s="8"/>
      <c r="C18" s="8"/>
      <c r="D18" s="8"/>
      <c r="H18" s="100">
        <v>38400</v>
      </c>
      <c r="I18" s="328">
        <f ca="1">J2-H18</f>
        <v>7240</v>
      </c>
      <c r="J18" s="49" t="s">
        <v>101</v>
      </c>
      <c r="K18" s="44">
        <f ca="1">H18+I18</f>
        <v>45640</v>
      </c>
      <c r="L18" s="50">
        <v>285969752</v>
      </c>
      <c r="M18" s="26"/>
      <c r="N18" s="8"/>
      <c r="O18" s="8"/>
      <c r="P18" s="8"/>
      <c r="Q18" s="8"/>
    </row>
    <row r="19" spans="1:17" ht="15.95" customHeight="1">
      <c r="H19" s="100">
        <v>42583</v>
      </c>
      <c r="I19" s="328">
        <f ca="1">J2-H19</f>
        <v>3057</v>
      </c>
      <c r="J19" s="51" t="s">
        <v>102</v>
      </c>
      <c r="K19" s="44">
        <f ca="1">H19+I19</f>
        <v>45640</v>
      </c>
      <c r="L19" s="52">
        <v>19683927</v>
      </c>
      <c r="M19" s="26"/>
      <c r="N19" s="8"/>
      <c r="O19" s="8"/>
      <c r="P19" s="8"/>
      <c r="Q19" s="8"/>
    </row>
    <row r="20" spans="1:17" ht="15">
      <c r="H20" s="101">
        <v>38011</v>
      </c>
      <c r="I20" s="328">
        <f ca="1">J2-H20</f>
        <v>7629</v>
      </c>
      <c r="J20" s="54" t="s">
        <v>102</v>
      </c>
      <c r="K20" s="44">
        <f ca="1">H20+I20</f>
        <v>45640</v>
      </c>
      <c r="L20" s="40"/>
      <c r="M20" s="26"/>
      <c r="N20" s="8"/>
      <c r="O20" s="8"/>
      <c r="P20" s="8"/>
      <c r="Q20" s="8"/>
    </row>
    <row r="21" spans="1:17" ht="15">
      <c r="A21" s="8"/>
      <c r="M21" s="26"/>
      <c r="N21" s="8"/>
      <c r="O21" s="8"/>
      <c r="P21" s="8"/>
      <c r="Q21" s="8"/>
    </row>
    <row r="22" spans="1:17" ht="15">
      <c r="A22" s="8"/>
      <c r="M22" s="26"/>
      <c r="N22" s="240"/>
      <c r="O22" s="8"/>
      <c r="P22" s="8"/>
      <c r="Q22" s="9"/>
    </row>
    <row r="23" spans="1:17">
      <c r="N23" s="106"/>
      <c r="O23" s="8"/>
      <c r="P23" s="8"/>
      <c r="Q23" s="8"/>
    </row>
    <row r="24" spans="1:17">
      <c r="N24" s="8"/>
      <c r="O24" s="8"/>
      <c r="P24" s="8"/>
      <c r="Q24" s="8"/>
    </row>
    <row r="25" spans="1:17">
      <c r="B25" s="205"/>
      <c r="C25" s="205"/>
      <c r="D25" s="238"/>
      <c r="E25" s="238"/>
      <c r="F25" s="238"/>
      <c r="G25" s="238"/>
      <c r="H25" s="238"/>
      <c r="I25" s="238"/>
      <c r="J25" s="238"/>
      <c r="N25" s="8"/>
      <c r="O25" s="8"/>
      <c r="P25" s="8"/>
      <c r="Q25" s="8"/>
    </row>
    <row r="26" spans="1:17">
      <c r="B26" s="205"/>
      <c r="C26" s="205"/>
      <c r="D26" s="238"/>
      <c r="E26" s="238"/>
      <c r="F26" s="238"/>
      <c r="G26" s="238"/>
      <c r="H26" s="238"/>
      <c r="I26" s="238"/>
      <c r="J26" s="238"/>
      <c r="N26" s="8"/>
      <c r="O26" s="8"/>
      <c r="P26" s="8"/>
      <c r="Q26" s="8"/>
    </row>
    <row r="27" spans="1:17">
      <c r="B27" s="205"/>
      <c r="C27" s="205"/>
      <c r="D27" s="238"/>
      <c r="E27" s="238"/>
      <c r="F27" s="238"/>
      <c r="G27" s="238"/>
      <c r="H27" s="238"/>
      <c r="I27" s="238"/>
      <c r="J27" s="238"/>
      <c r="N27" s="8"/>
      <c r="O27" s="8"/>
      <c r="P27" s="8"/>
      <c r="Q27" s="8"/>
    </row>
    <row r="28" spans="1:17">
      <c r="B28" s="8"/>
      <c r="C28" s="8"/>
      <c r="N28" s="8"/>
      <c r="O28" s="8"/>
      <c r="P28" s="8"/>
      <c r="Q28" s="8"/>
    </row>
    <row r="29" spans="1:17">
      <c r="B29" s="8"/>
      <c r="C29" s="8"/>
      <c r="N29" s="8"/>
      <c r="O29" s="8"/>
      <c r="P29" s="8"/>
      <c r="Q29" s="8"/>
    </row>
    <row r="30" spans="1:17">
      <c r="B30" s="8"/>
      <c r="C30" s="8"/>
      <c r="N30" s="8"/>
      <c r="O30" s="8"/>
      <c r="P30" s="8"/>
      <c r="Q30" s="8"/>
    </row>
    <row r="31" spans="1:17" ht="20.100000000000001" customHeight="1">
      <c r="B31" s="20"/>
      <c r="C31" s="20"/>
      <c r="D31" s="27"/>
      <c r="E31" s="27"/>
      <c r="F31" s="27"/>
      <c r="N31" s="8"/>
      <c r="O31" s="8"/>
      <c r="P31" s="8"/>
      <c r="Q31" s="8"/>
    </row>
    <row r="32" spans="1:17" ht="20.100000000000001" customHeight="1">
      <c r="B32" s="194"/>
      <c r="C32" s="194"/>
      <c r="D32" s="28"/>
      <c r="E32" s="28"/>
      <c r="F32" s="28"/>
    </row>
    <row r="33" spans="2:6" ht="22.5" customHeight="1">
      <c r="B33" s="195"/>
      <c r="C33" s="196"/>
      <c r="D33" s="30"/>
      <c r="E33" s="30"/>
      <c r="F33" s="30"/>
    </row>
    <row r="34" spans="2:6" ht="21.6" customHeight="1">
      <c r="C34" s="30"/>
      <c r="D34" s="30"/>
      <c r="E34" s="30"/>
      <c r="F34" s="30"/>
    </row>
    <row r="35" spans="2:6" ht="23.45" customHeight="1">
      <c r="B35" s="31"/>
      <c r="C35" s="32"/>
      <c r="D35" s="29"/>
    </row>
    <row r="36" spans="2:6" ht="15" customHeight="1">
      <c r="B36" s="412"/>
      <c r="C36" s="412"/>
      <c r="D36" s="30"/>
    </row>
    <row r="37" spans="2:6" ht="18" customHeight="1">
      <c r="B37" s="413"/>
      <c r="C37" s="413"/>
      <c r="D37" s="30"/>
      <c r="E37" s="33"/>
      <c r="F37" s="33"/>
    </row>
    <row r="38" spans="2:6" ht="14.45" customHeight="1">
      <c r="B38" s="9"/>
      <c r="C38" s="9"/>
      <c r="D38" s="8"/>
      <c r="E38" s="8"/>
      <c r="F38" s="8"/>
    </row>
    <row r="39" spans="2:6" ht="14.45" customHeight="1">
      <c r="B39" s="9"/>
      <c r="C39" s="9"/>
      <c r="D39" s="34"/>
      <c r="E39" s="8"/>
      <c r="F39" s="8"/>
    </row>
    <row r="40" spans="2:6" ht="15.95" customHeight="1">
      <c r="D40" s="10"/>
      <c r="E40" s="8"/>
      <c r="F40" s="8"/>
    </row>
    <row r="41" spans="2:6" ht="14.45" customHeight="1">
      <c r="D41" s="8"/>
      <c r="E41" s="8"/>
      <c r="F41" s="8"/>
    </row>
    <row r="42" spans="2:6" ht="14.45" customHeight="1">
      <c r="B42" s="8"/>
      <c r="C42" s="8"/>
      <c r="D42" s="8"/>
      <c r="E42" s="8"/>
      <c r="F42" s="8"/>
    </row>
    <row r="43" spans="2:6" ht="14.45" customHeight="1">
      <c r="B43" s="8"/>
      <c r="C43" s="8"/>
      <c r="D43" s="8"/>
      <c r="E43" s="8"/>
      <c r="F43" s="8"/>
    </row>
    <row r="44" spans="2:6">
      <c r="E44" s="8"/>
      <c r="F44" s="8"/>
    </row>
    <row r="45" spans="2:6" ht="14.45" customHeight="1">
      <c r="E45" s="35"/>
      <c r="F45" s="35"/>
    </row>
    <row r="46" spans="2:6" ht="14.45" customHeight="1">
      <c r="E46" s="15"/>
      <c r="F46" s="15"/>
    </row>
    <row r="47" spans="2:6" ht="14.45" customHeight="1">
      <c r="E47" s="9"/>
      <c r="F47" s="9"/>
    </row>
    <row r="48" spans="2:6" ht="14.45" customHeight="1">
      <c r="E48" s="9"/>
      <c r="F48" s="9"/>
    </row>
    <row r="49" spans="2:6" ht="14.45" customHeight="1">
      <c r="E49" s="9"/>
      <c r="F49" s="9"/>
    </row>
    <row r="50" spans="2:6" ht="14.45" customHeight="1">
      <c r="E50" s="9"/>
      <c r="F50" s="9"/>
    </row>
    <row r="51" spans="2:6" ht="14.45" customHeight="1">
      <c r="E51" s="36"/>
      <c r="F51" s="36"/>
    </row>
    <row r="52" spans="2:6">
      <c r="E52" s="36"/>
      <c r="F52" s="36"/>
    </row>
    <row r="53" spans="2:6" ht="15" customHeight="1">
      <c r="E53" s="37"/>
      <c r="F53" s="37"/>
    </row>
    <row r="54" spans="2:6" ht="15.95" customHeight="1">
      <c r="E54" s="9"/>
      <c r="F54" s="9"/>
    </row>
    <row r="55" spans="2:6" ht="17.45" customHeight="1">
      <c r="E55" s="9"/>
      <c r="F55" s="9"/>
    </row>
    <row r="56" spans="2:6" ht="14.45" customHeight="1">
      <c r="E56" s="9"/>
      <c r="F56" s="9"/>
    </row>
    <row r="57" spans="2:6">
      <c r="E57" s="8"/>
      <c r="F57" s="8"/>
    </row>
    <row r="58" spans="2:6" ht="16.5" customHeight="1">
      <c r="B58" s="8"/>
      <c r="C58" s="8"/>
      <c r="D58" s="37"/>
      <c r="E58" s="9"/>
      <c r="F58" s="9"/>
    </row>
    <row r="59" spans="2:6" ht="14.45" customHeight="1">
      <c r="B59" s="8"/>
      <c r="C59" s="8"/>
      <c r="D59" s="8"/>
      <c r="E59" s="9"/>
      <c r="F59" s="9"/>
    </row>
    <row r="60" spans="2:6" ht="14.45" customHeight="1">
      <c r="B60" s="8"/>
      <c r="C60" s="8"/>
      <c r="D60" s="8"/>
      <c r="E60" s="9"/>
      <c r="F60" s="9"/>
    </row>
    <row r="61" spans="2:6">
      <c r="B61" s="8"/>
      <c r="C61" s="8"/>
      <c r="D61" s="8"/>
      <c r="E61" s="8"/>
      <c r="F61" s="8"/>
    </row>
    <row r="62" spans="2:6">
      <c r="B62" s="8"/>
      <c r="C62" s="8"/>
      <c r="D62" s="8"/>
      <c r="E62" s="8"/>
      <c r="F62" s="8"/>
    </row>
    <row r="63" spans="2:6" ht="14.45" customHeight="1">
      <c r="B63" s="8"/>
      <c r="C63" s="8"/>
      <c r="D63" s="8"/>
      <c r="E63" s="8"/>
      <c r="F63" s="8"/>
    </row>
    <row r="64" spans="2:6" ht="15" customHeight="1">
      <c r="B64" s="38"/>
      <c r="C64" s="8"/>
      <c r="D64" s="8"/>
      <c r="E64" s="8"/>
      <c r="F64" s="8"/>
    </row>
    <row r="65" spans="2:6">
      <c r="B65" s="8"/>
      <c r="C65" s="8"/>
      <c r="D65" s="8"/>
      <c r="E65" s="8"/>
      <c r="F65" s="8"/>
    </row>
    <row r="68" spans="2:6" ht="14.25" customHeight="1"/>
    <row r="71" spans="2:6">
      <c r="B71" s="8"/>
      <c r="C71" s="8"/>
      <c r="D71" s="8"/>
      <c r="E71" s="8"/>
      <c r="F71" s="8"/>
    </row>
    <row r="72" spans="2:6">
      <c r="B72" s="8"/>
      <c r="C72" s="8"/>
      <c r="D72" s="8"/>
      <c r="E72" s="8"/>
      <c r="F72" s="8"/>
    </row>
    <row r="73" spans="2:6">
      <c r="B73" s="8"/>
      <c r="C73" s="8"/>
      <c r="D73" s="8"/>
      <c r="E73" s="8"/>
      <c r="F73" s="8"/>
    </row>
    <row r="74" spans="2:6">
      <c r="B74" s="8"/>
      <c r="C74" s="8"/>
      <c r="D74" s="8"/>
      <c r="E74" s="8"/>
      <c r="F74" s="8"/>
    </row>
    <row r="75" spans="2:6">
      <c r="B75" s="8"/>
      <c r="C75" s="8"/>
      <c r="D75" s="8"/>
      <c r="E75" s="8"/>
      <c r="F75" s="8"/>
    </row>
    <row r="76" spans="2:6">
      <c r="B76" s="8"/>
      <c r="C76" s="8"/>
      <c r="D76" s="8"/>
      <c r="E76" s="8"/>
      <c r="F76" s="8"/>
    </row>
    <row r="77" spans="2:6">
      <c r="B77" s="8"/>
      <c r="C77" s="8"/>
      <c r="D77" s="8"/>
      <c r="E77" s="8"/>
      <c r="F77" s="8"/>
    </row>
    <row r="78" spans="2:6">
      <c r="B78" s="8"/>
      <c r="C78" s="8"/>
      <c r="D78" s="8"/>
      <c r="E78" s="8"/>
      <c r="F78" s="8"/>
    </row>
    <row r="79" spans="2:6">
      <c r="B79" s="8"/>
      <c r="C79" s="8"/>
      <c r="D79" s="8"/>
      <c r="E79" s="8"/>
      <c r="F79" s="8"/>
    </row>
    <row r="80" spans="2:6">
      <c r="B80" s="8"/>
      <c r="C80" s="8"/>
      <c r="D80" s="8"/>
      <c r="E80" s="8"/>
      <c r="F80" s="8"/>
    </row>
    <row r="81" spans="2:6">
      <c r="B81" s="8"/>
      <c r="C81" s="8"/>
      <c r="D81" s="8"/>
      <c r="E81" s="8"/>
      <c r="F81" s="8"/>
    </row>
    <row r="82" spans="2:6">
      <c r="B82" s="333"/>
      <c r="C82" s="406"/>
      <c r="D82" s="406"/>
      <c r="E82" s="406"/>
      <c r="F82" s="248"/>
    </row>
    <row r="83" spans="2:6">
      <c r="B83" s="407"/>
      <c r="C83" s="408"/>
      <c r="D83" s="408"/>
      <c r="E83" s="408"/>
      <c r="F83" s="248"/>
    </row>
    <row r="84" spans="2:6">
      <c r="B84" s="333"/>
      <c r="C84" s="406"/>
      <c r="D84" s="406"/>
      <c r="E84" s="406"/>
      <c r="F84" s="248"/>
    </row>
    <row r="85" spans="2:6">
      <c r="B85" s="407"/>
      <c r="C85" s="408"/>
      <c r="D85" s="408"/>
      <c r="E85" s="408"/>
      <c r="F85" s="248"/>
    </row>
    <row r="86" spans="2:6">
      <c r="B86" s="333"/>
      <c r="C86" s="406"/>
      <c r="D86" s="406"/>
      <c r="E86" s="406"/>
      <c r="F86" s="248"/>
    </row>
    <row r="87" spans="2:6">
      <c r="B87" s="407"/>
      <c r="C87" s="408"/>
      <c r="D87" s="408"/>
      <c r="E87" s="408"/>
      <c r="F87" s="248"/>
    </row>
    <row r="88" spans="2:6">
      <c r="B88" s="333"/>
      <c r="C88" s="406"/>
      <c r="D88" s="406"/>
      <c r="E88" s="406"/>
      <c r="F88" s="248"/>
    </row>
    <row r="89" spans="2:6" ht="14.45" customHeight="1">
      <c r="B89" s="407"/>
      <c r="C89" s="408"/>
      <c r="D89" s="408"/>
      <c r="E89" s="408"/>
      <c r="F89" s="248"/>
    </row>
    <row r="90" spans="2:6" ht="14.45" customHeight="1">
      <c r="B90" s="333"/>
      <c r="C90" s="406"/>
      <c r="D90" s="406"/>
      <c r="E90" s="406"/>
      <c r="F90" s="248"/>
    </row>
    <row r="91" spans="2:6" ht="14.45" customHeight="1">
      <c r="B91" s="407"/>
      <c r="C91" s="408"/>
      <c r="D91" s="408"/>
      <c r="E91" s="408"/>
      <c r="F91" s="248"/>
    </row>
    <row r="92" spans="2:6" ht="14.45" customHeight="1">
      <c r="B92" s="333"/>
      <c r="C92" s="406"/>
      <c r="D92" s="406"/>
      <c r="E92" s="406"/>
      <c r="F92" s="248"/>
    </row>
    <row r="93" spans="2:6" ht="14.45" customHeight="1">
      <c r="B93" s="407"/>
      <c r="C93" s="408"/>
      <c r="D93" s="408"/>
      <c r="E93" s="408"/>
      <c r="F93" s="248"/>
    </row>
    <row r="122" spans="4:8">
      <c r="D122" s="38"/>
    </row>
    <row r="123" spans="4:8">
      <c r="H123" s="38"/>
    </row>
    <row r="124" spans="4:8">
      <c r="E124" s="38"/>
      <c r="F124" s="38"/>
    </row>
  </sheetData>
  <mergeCells count="17">
    <mergeCell ref="B90:E91"/>
    <mergeCell ref="R5:R10"/>
    <mergeCell ref="S5:S10"/>
    <mergeCell ref="B92:E93"/>
    <mergeCell ref="B82:E83"/>
    <mergeCell ref="B84:E85"/>
    <mergeCell ref="B36:C36"/>
    <mergeCell ref="B37:C37"/>
    <mergeCell ref="L10:Q10"/>
    <mergeCell ref="L5:Q5"/>
    <mergeCell ref="F5:K5"/>
    <mergeCell ref="F10:K10"/>
    <mergeCell ref="A1:J1"/>
    <mergeCell ref="J2:L2"/>
    <mergeCell ref="E2:I2"/>
    <mergeCell ref="B86:E87"/>
    <mergeCell ref="B88:E89"/>
  </mergeCells>
  <phoneticPr fontId="16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8CD30B28-9993-4EF0-8D9D-86F9B85A450A}">
            <x14:iconSet iconSet="3Stars">
              <x14:cfvo type="percent">
                <xm:f>0</xm:f>
              </x14:cfvo>
              <x14:cfvo type="num">
                <xm:f>5</xm:f>
              </x14:cfvo>
              <x14:cfvo type="num">
                <xm:f>8</xm:f>
              </x14:cfvo>
            </x14:iconSet>
          </x14:cfRule>
          <xm:sqref>E12:F12 E9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58D9-CD2B-4298-9C5A-16CCD8E1FC1D}">
  <dimension ref="A1:AE125"/>
  <sheetViews>
    <sheetView zoomScaleNormal="100" workbookViewId="0">
      <selection activeCell="C8" sqref="C8:D8"/>
    </sheetView>
  </sheetViews>
  <sheetFormatPr defaultColWidth="10.85546875" defaultRowHeight="11.25"/>
  <cols>
    <col min="1" max="10" width="13.5703125" style="4" customWidth="1"/>
    <col min="11" max="11" width="12.42578125" style="4" customWidth="1"/>
    <col min="12" max="12" width="3.28515625" style="4" customWidth="1"/>
    <col min="13" max="14" width="13.5703125" style="4" customWidth="1"/>
    <col min="15" max="15" width="3.7109375" style="4" customWidth="1"/>
    <col min="16" max="16" width="13.5703125" style="4" customWidth="1"/>
    <col min="17" max="17" width="8.28515625" style="4" customWidth="1"/>
    <col min="18" max="18" width="13.5703125" style="4" customWidth="1"/>
    <col min="19" max="19" width="29.85546875" style="4" customWidth="1"/>
    <col min="20" max="27" width="13.5703125" style="4" customWidth="1"/>
    <col min="28" max="16384" width="10.85546875" style="4"/>
  </cols>
  <sheetData>
    <row r="1" spans="1:31" ht="15.95" customHeight="1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79"/>
      <c r="K1" s="318"/>
      <c r="L1" s="318"/>
      <c r="M1" s="319"/>
      <c r="N1" s="320" t="s">
        <v>1</v>
      </c>
      <c r="O1" s="320" t="s">
        <v>2</v>
      </c>
    </row>
    <row r="2" spans="1:31" ht="15.95" customHeight="1">
      <c r="A2" s="321"/>
      <c r="B2" s="322"/>
      <c r="C2" s="322"/>
      <c r="D2" s="322"/>
      <c r="E2" s="322"/>
      <c r="F2" s="322"/>
      <c r="G2" s="322"/>
      <c r="H2" s="322"/>
      <c r="I2" s="426">
        <f ca="1">TODAY()</f>
        <v>45640</v>
      </c>
      <c r="J2" s="426"/>
      <c r="K2" s="426"/>
      <c r="L2" s="426"/>
      <c r="M2" s="318">
        <f ca="1">Points!I16</f>
        <v>1736</v>
      </c>
      <c r="N2" s="380" t="s">
        <v>3</v>
      </c>
      <c r="O2" s="380"/>
    </row>
    <row r="3" spans="1:31" ht="15.95" customHeight="1">
      <c r="A3" s="308"/>
      <c r="B3" s="309"/>
      <c r="C3" s="309"/>
      <c r="D3" s="309"/>
      <c r="E3" s="309"/>
      <c r="F3" s="309"/>
      <c r="G3" s="309"/>
      <c r="H3" s="309"/>
      <c r="I3" s="309"/>
      <c r="J3" s="311"/>
      <c r="K3" s="311"/>
      <c r="L3" s="311"/>
      <c r="M3" s="310"/>
      <c r="N3" s="312"/>
      <c r="O3" s="312"/>
    </row>
    <row r="4" spans="1:31" ht="15.95" customHeight="1">
      <c r="A4" s="213"/>
      <c r="B4" s="212"/>
      <c r="C4" s="212"/>
      <c r="D4" s="212"/>
      <c r="E4" s="212"/>
      <c r="F4" s="212"/>
      <c r="G4" s="212"/>
      <c r="H4" s="212"/>
      <c r="I4" s="212"/>
      <c r="J4" s="268"/>
      <c r="K4" s="268"/>
      <c r="L4" s="268"/>
      <c r="M4" s="241"/>
      <c r="N4" s="269"/>
      <c r="O4" s="269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5.95" customHeight="1">
      <c r="A5" s="441" t="s">
        <v>103</v>
      </c>
      <c r="B5" s="442"/>
      <c r="C5" s="433">
        <f>C6+C7</f>
        <v>299</v>
      </c>
      <c r="D5" s="434"/>
      <c r="E5" s="13"/>
      <c r="H5" s="245" t="s">
        <v>104</v>
      </c>
      <c r="I5" s="245" t="s">
        <v>105</v>
      </c>
      <c r="J5" s="244" t="s">
        <v>106</v>
      </c>
      <c r="K5" s="267"/>
      <c r="L5" s="270"/>
      <c r="M5" s="271"/>
      <c r="N5" s="271"/>
      <c r="O5" s="272"/>
      <c r="P5" s="9"/>
      <c r="Q5" s="8" t="s">
        <v>107</v>
      </c>
      <c r="R5" s="8"/>
      <c r="S5" s="8">
        <f>SUM(Q7:Q33)</f>
        <v>21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5.95" customHeight="1">
      <c r="A6" s="443" t="s">
        <v>108</v>
      </c>
      <c r="B6" s="444"/>
      <c r="C6" s="431">
        <v>49</v>
      </c>
      <c r="D6" s="432"/>
      <c r="E6" s="13"/>
      <c r="H6" s="247">
        <v>5.6000000000000001E-2</v>
      </c>
      <c r="I6" s="246">
        <v>10.26</v>
      </c>
      <c r="J6" s="262">
        <f>I6*Coins!I10</f>
        <v>194.94</v>
      </c>
      <c r="K6" s="267"/>
      <c r="L6" s="273"/>
      <c r="M6" s="267" t="s">
        <v>109</v>
      </c>
      <c r="N6" s="267" t="s">
        <v>106</v>
      </c>
      <c r="O6" s="274"/>
      <c r="P6" s="9"/>
      <c r="Q6" s="245" t="s">
        <v>110</v>
      </c>
      <c r="R6" s="281" t="s">
        <v>106</v>
      </c>
      <c r="S6" s="245" t="s">
        <v>111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5.95" customHeight="1">
      <c r="A7" s="443" t="s">
        <v>112</v>
      </c>
      <c r="B7" s="444"/>
      <c r="C7" s="431">
        <v>250</v>
      </c>
      <c r="D7" s="432"/>
      <c r="E7" s="13"/>
      <c r="H7" s="247">
        <v>6.0999999999999999E-2</v>
      </c>
      <c r="I7" s="246">
        <v>11</v>
      </c>
      <c r="J7" s="262">
        <f>I7*Coins!I10</f>
        <v>209</v>
      </c>
      <c r="K7" s="13"/>
      <c r="L7" s="273"/>
      <c r="M7" s="289">
        <f>(SUM(I6:I22))-S5</f>
        <v>16.259999999999998</v>
      </c>
      <c r="N7" s="290">
        <f>M7*Coins!I10</f>
        <v>308.93999999999994</v>
      </c>
      <c r="O7" s="274"/>
      <c r="P7" s="9"/>
      <c r="Q7" s="244">
        <v>5</v>
      </c>
      <c r="R7" s="267">
        <f>Q7*Coins!I10</f>
        <v>95</v>
      </c>
      <c r="S7" s="282" t="s">
        <v>113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5.95" customHeight="1">
      <c r="A8" s="435" t="s">
        <v>114</v>
      </c>
      <c r="B8" s="436"/>
      <c r="C8" s="437">
        <f>SUM(C9:D13)</f>
        <v>599</v>
      </c>
      <c r="D8" s="438"/>
      <c r="E8" s="13"/>
      <c r="H8" s="247" t="s">
        <v>115</v>
      </c>
      <c r="I8" s="246">
        <v>16</v>
      </c>
      <c r="J8" s="262">
        <f>I8*Coins!I10</f>
        <v>304</v>
      </c>
      <c r="K8" s="13"/>
      <c r="L8" s="275"/>
      <c r="M8" s="276"/>
      <c r="N8" s="277"/>
      <c r="O8" s="278"/>
      <c r="P8" s="9"/>
      <c r="Q8" s="244">
        <v>1</v>
      </c>
      <c r="R8" s="267">
        <f>Q8*Coins!I10</f>
        <v>19</v>
      </c>
      <c r="S8" s="8" t="s">
        <v>116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5.95" customHeight="1">
      <c r="A9" s="427" t="s">
        <v>117</v>
      </c>
      <c r="B9" s="428"/>
      <c r="C9" s="429">
        <v>0</v>
      </c>
      <c r="D9" s="430"/>
      <c r="E9" s="13"/>
      <c r="H9" s="247"/>
      <c r="I9" s="246"/>
      <c r="J9" s="262">
        <f>I9*Coins!I10</f>
        <v>0</v>
      </c>
      <c r="K9" s="244"/>
      <c r="L9" s="267"/>
      <c r="M9" s="267"/>
      <c r="N9" s="13"/>
      <c r="O9" s="13"/>
      <c r="P9" s="8"/>
      <c r="Q9" s="244">
        <v>2</v>
      </c>
      <c r="R9" s="267">
        <f>Q9*Coins!I10</f>
        <v>38</v>
      </c>
      <c r="S9" s="8" t="s">
        <v>116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5.95" customHeight="1">
      <c r="A10" s="427" t="s">
        <v>118</v>
      </c>
      <c r="B10" s="428"/>
      <c r="C10" s="431">
        <v>350</v>
      </c>
      <c r="D10" s="432"/>
      <c r="E10" s="13"/>
      <c r="H10" s="247"/>
      <c r="I10" s="246"/>
      <c r="J10" s="262">
        <f>I10*Coins!I10</f>
        <v>0</v>
      </c>
      <c r="K10" s="244"/>
      <c r="L10" s="244"/>
      <c r="M10" s="244"/>
      <c r="P10" s="8"/>
      <c r="Q10" s="244">
        <v>7</v>
      </c>
      <c r="R10" s="267">
        <f>Q10*Coins!I10</f>
        <v>133</v>
      </c>
      <c r="S10" s="8" t="s">
        <v>116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5.95" customHeight="1">
      <c r="A11" s="427" t="s">
        <v>119</v>
      </c>
      <c r="B11" s="428"/>
      <c r="C11" s="431">
        <v>0</v>
      </c>
      <c r="D11" s="432"/>
      <c r="E11" s="13"/>
      <c r="H11" s="247"/>
      <c r="I11" s="246"/>
      <c r="J11" s="262">
        <f>I11*Coins!I10</f>
        <v>0</v>
      </c>
      <c r="K11" s="244"/>
      <c r="L11" s="244"/>
      <c r="M11" s="244"/>
      <c r="P11" s="8"/>
      <c r="Q11" s="244">
        <v>6</v>
      </c>
      <c r="R11" s="267">
        <f>Q11*Coins!I11</f>
        <v>1.5599999999999881</v>
      </c>
      <c r="S11" s="8" t="s">
        <v>116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5.95" customHeight="1">
      <c r="A12" s="427" t="s">
        <v>120</v>
      </c>
      <c r="B12" s="428"/>
      <c r="C12" s="431">
        <v>19</v>
      </c>
      <c r="D12" s="432"/>
      <c r="E12" s="13"/>
      <c r="H12" s="247"/>
      <c r="I12" s="246"/>
      <c r="J12" s="262">
        <f>I12*Coins!I15</f>
        <v>0</v>
      </c>
      <c r="K12" s="244"/>
      <c r="L12" s="244"/>
      <c r="M12" s="244"/>
      <c r="P12" s="8"/>
      <c r="Q12" s="244"/>
      <c r="R12" s="267">
        <f>Q12*Coins!I12</f>
        <v>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5.95" customHeight="1">
      <c r="A13" s="427" t="s">
        <v>121</v>
      </c>
      <c r="B13" s="428"/>
      <c r="C13" s="431">
        <v>230</v>
      </c>
      <c r="D13" s="432"/>
      <c r="E13" s="13"/>
      <c r="F13" s="8"/>
      <c r="G13" s="8"/>
      <c r="H13" s="247"/>
      <c r="I13" s="246"/>
      <c r="J13" s="262">
        <f>I13*Coins!I16</f>
        <v>0</v>
      </c>
      <c r="K13" s="244"/>
      <c r="L13" s="244"/>
      <c r="M13" s="244"/>
      <c r="N13" s="244"/>
      <c r="P13" s="8"/>
      <c r="Q13" s="244"/>
      <c r="R13" s="267">
        <f>Q13*Coins!I13</f>
        <v>0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5.95" customHeight="1">
      <c r="A14" s="445" t="s">
        <v>122</v>
      </c>
      <c r="B14" s="446"/>
      <c r="C14" s="439">
        <f>C15+C16</f>
        <v>16.260000000000002</v>
      </c>
      <c r="D14" s="440"/>
      <c r="E14" s="13"/>
      <c r="F14" s="8"/>
      <c r="G14" s="8"/>
      <c r="H14" s="247"/>
      <c r="I14" s="246"/>
      <c r="J14" s="262">
        <f>I14*Coins!I17</f>
        <v>0</v>
      </c>
      <c r="K14" s="244"/>
      <c r="L14" s="244"/>
      <c r="M14" s="244"/>
      <c r="N14" s="244"/>
      <c r="P14" s="8"/>
      <c r="Q14" s="244"/>
      <c r="R14" s="267">
        <f>Q14*Coins!I14</f>
        <v>0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5.95" customHeight="1">
      <c r="A15" s="451" t="s">
        <v>108</v>
      </c>
      <c r="B15" s="452"/>
      <c r="C15" s="431">
        <v>0.26</v>
      </c>
      <c r="D15" s="432"/>
      <c r="E15" s="13"/>
      <c r="F15" s="8"/>
      <c r="G15" s="8"/>
      <c r="H15" s="247"/>
      <c r="I15" s="246"/>
      <c r="J15" s="262">
        <f>I15*Coins!I18</f>
        <v>0</v>
      </c>
      <c r="K15" s="244"/>
      <c r="L15" s="244"/>
      <c r="M15" s="244"/>
      <c r="N15" s="244"/>
      <c r="P15" s="8"/>
      <c r="Q15" s="244"/>
      <c r="R15" s="267">
        <f>Q15*Coins!I15</f>
        <v>0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5.95" customHeight="1">
      <c r="A16" s="453" t="s">
        <v>112</v>
      </c>
      <c r="B16" s="454"/>
      <c r="C16" s="431">
        <v>16</v>
      </c>
      <c r="D16" s="432"/>
      <c r="E16" s="13"/>
      <c r="F16" s="9"/>
      <c r="G16" s="9"/>
      <c r="H16" s="247"/>
      <c r="I16" s="246"/>
      <c r="J16" s="262">
        <f>I16*Coins!I19</f>
        <v>0</v>
      </c>
      <c r="K16" s="244"/>
      <c r="L16" s="244"/>
      <c r="M16" s="244"/>
      <c r="N16" s="244"/>
      <c r="P16" s="8"/>
      <c r="Q16" s="244"/>
      <c r="R16" s="267">
        <f>Q16*Coins!I16</f>
        <v>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5.95" customHeight="1">
      <c r="A17" s="455" t="s">
        <v>123</v>
      </c>
      <c r="B17" s="108" t="s">
        <v>124</v>
      </c>
      <c r="C17" s="447">
        <f>C8+C5</f>
        <v>898</v>
      </c>
      <c r="D17" s="448"/>
      <c r="E17" s="13"/>
      <c r="F17" s="9"/>
      <c r="G17" s="9"/>
      <c r="H17" s="247"/>
      <c r="I17" s="246"/>
      <c r="J17" s="262">
        <f>I17*Coins!I20</f>
        <v>0</v>
      </c>
      <c r="K17" s="244"/>
      <c r="L17" s="244"/>
      <c r="M17" s="244"/>
      <c r="N17" s="244"/>
      <c r="P17" s="8"/>
      <c r="Q17" s="244"/>
      <c r="R17" s="267">
        <f>Q17*Coins!I17</f>
        <v>0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5.95" customHeight="1">
      <c r="A18" s="456"/>
      <c r="B18" s="261" t="s">
        <v>125</v>
      </c>
      <c r="C18" s="449">
        <f>C17+(C14*Coins!I10)</f>
        <v>1206.94</v>
      </c>
      <c r="D18" s="450"/>
      <c r="E18" s="13"/>
      <c r="F18" s="9"/>
      <c r="G18" s="9"/>
      <c r="H18" s="247"/>
      <c r="I18" s="246"/>
      <c r="J18" s="2"/>
      <c r="K18" s="2"/>
      <c r="L18" s="2"/>
      <c r="M18" s="2"/>
      <c r="N18" s="2"/>
      <c r="P18" s="8"/>
      <c r="Q18" s="244"/>
      <c r="R18" s="267">
        <f>Q18*Coins!I18</f>
        <v>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5.95" customHeight="1">
      <c r="A19" s="13"/>
      <c r="B19" s="13"/>
      <c r="C19" s="13"/>
      <c r="D19" s="13"/>
      <c r="F19" s="8"/>
      <c r="G19" s="8"/>
      <c r="H19" s="247"/>
      <c r="I19" s="246"/>
      <c r="P19" s="8"/>
      <c r="Q19" s="244"/>
      <c r="R19" s="267">
        <f>Q19*Coins!I19</f>
        <v>0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5.95" customHeight="1">
      <c r="B20" s="13"/>
      <c r="C20" s="13"/>
      <c r="D20" s="13"/>
      <c r="F20" s="8"/>
      <c r="G20" s="8"/>
      <c r="H20" s="247"/>
      <c r="I20" s="246"/>
      <c r="J20" s="2"/>
      <c r="K20" s="2"/>
      <c r="N20" s="2"/>
      <c r="P20" s="8"/>
      <c r="Q20" s="244"/>
      <c r="R20" s="267">
        <f>Q20*Coins!I20</f>
        <v>0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2">
      <c r="C21" s="13"/>
      <c r="E21" s="13"/>
      <c r="F21" s="9"/>
      <c r="G21" s="9"/>
      <c r="H21" s="247"/>
      <c r="I21" s="1"/>
      <c r="J21" s="2"/>
      <c r="K21" s="3"/>
      <c r="N21" s="2"/>
      <c r="P21" s="8"/>
      <c r="Q21" s="244"/>
      <c r="R21" s="267">
        <f>Q21*Coins!I21</f>
        <v>0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2">
      <c r="E22" s="15"/>
      <c r="F22" s="15"/>
      <c r="G22" s="15"/>
      <c r="H22" s="247"/>
      <c r="I22" s="1"/>
      <c r="J22" s="2"/>
      <c r="K22" s="2"/>
      <c r="N22" s="2"/>
      <c r="P22" s="8"/>
      <c r="Q22" s="244"/>
      <c r="R22" s="267">
        <f>Q22*Coins!I22</f>
        <v>0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2">
      <c r="E23" s="13"/>
      <c r="F23" s="9"/>
      <c r="G23" s="9"/>
      <c r="H23" s="247"/>
      <c r="I23" s="1"/>
      <c r="J23" s="2"/>
      <c r="K23" s="2"/>
      <c r="L23" s="2"/>
      <c r="M23" s="2"/>
      <c r="N23" s="2"/>
      <c r="P23" s="8"/>
      <c r="Q23" s="244"/>
      <c r="R23" s="267">
        <f>Q23*Coins!I23</f>
        <v>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>
      <c r="E24" s="13"/>
      <c r="F24" s="13"/>
      <c r="G24" s="13"/>
      <c r="H24" s="247"/>
      <c r="P24" s="8"/>
      <c r="Q24" s="244"/>
      <c r="R24" s="267">
        <f>Q24*Coins!I24</f>
        <v>0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>
      <c r="H25" s="247"/>
      <c r="P25" s="8"/>
      <c r="Q25" s="244"/>
      <c r="R25" s="267">
        <f>Q25*Coins!I25</f>
        <v>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>
      <c r="H26" s="247"/>
      <c r="P26" s="8"/>
      <c r="Q26" s="244"/>
      <c r="R26" s="267">
        <f>Q26*Coins!I26</f>
        <v>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>
      <c r="H27" s="247"/>
      <c r="P27" s="8"/>
      <c r="Q27" s="244"/>
      <c r="R27" s="267">
        <f>Q27*Coins!I27</f>
        <v>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>
      <c r="A28" s="28"/>
      <c r="B28" s="28"/>
      <c r="C28" s="28"/>
      <c r="D28" s="28"/>
      <c r="P28" s="8"/>
      <c r="Q28" s="244"/>
      <c r="R28" s="267">
        <f>Q28*Coins!I28</f>
        <v>0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>
      <c r="A29" s="29"/>
      <c r="B29" s="30"/>
      <c r="C29" s="30"/>
      <c r="D29" s="30"/>
      <c r="P29" s="8"/>
      <c r="Q29" s="244"/>
      <c r="R29" s="267">
        <f>Q29*Coins!I29</f>
        <v>0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>
      <c r="B30" s="30"/>
      <c r="C30" s="30"/>
      <c r="D30" s="30"/>
      <c r="P30" s="8"/>
      <c r="Q30" s="244"/>
      <c r="R30" s="267">
        <f>Q30*Coins!I30</f>
        <v>0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>
      <c r="A31" s="31"/>
      <c r="B31" s="32"/>
      <c r="C31" s="29"/>
      <c r="P31" s="8"/>
      <c r="Q31" s="244"/>
      <c r="R31" s="267">
        <f>Q31*Coins!I31</f>
        <v>0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20.100000000000001" customHeight="1">
      <c r="A32" s="412"/>
      <c r="B32" s="412"/>
      <c r="C32" s="30"/>
      <c r="P32" s="8"/>
      <c r="Q32" s="244"/>
      <c r="R32" s="244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20.100000000000001" customHeight="1">
      <c r="A33" s="413"/>
      <c r="B33" s="413"/>
      <c r="C33" s="30"/>
      <c r="D33" s="33"/>
      <c r="P33" s="8"/>
      <c r="Q33" s="244"/>
      <c r="R33" s="244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22.5" customHeight="1">
      <c r="A34" s="9"/>
      <c r="B34" s="9"/>
      <c r="C34" s="8"/>
      <c r="D34" s="8"/>
      <c r="P34" s="8"/>
      <c r="Q34" s="244"/>
      <c r="R34" s="244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21.6" customHeight="1">
      <c r="A35" s="9"/>
      <c r="B35" s="9"/>
      <c r="C35" s="34"/>
      <c r="D35" s="8"/>
      <c r="P35" s="8"/>
      <c r="Q35" s="244"/>
      <c r="R35" s="244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23.45" customHeight="1">
      <c r="C36" s="10"/>
      <c r="D36" s="8"/>
      <c r="P36" s="8"/>
      <c r="Q36" s="244"/>
      <c r="R36" s="244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5" customHeight="1">
      <c r="C37" s="8"/>
      <c r="D37" s="8"/>
      <c r="P37" s="8"/>
      <c r="Q37" s="244"/>
      <c r="R37" s="244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8" customHeight="1">
      <c r="A38" s="8"/>
      <c r="B38" s="8"/>
      <c r="C38" s="8"/>
      <c r="D38" s="8"/>
      <c r="P38" s="8"/>
      <c r="Q38" s="244"/>
      <c r="R38" s="244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4.45" customHeight="1">
      <c r="A39" s="8"/>
      <c r="B39" s="8"/>
      <c r="C39" s="8"/>
      <c r="D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4.45" customHeight="1">
      <c r="D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5.95" customHeight="1">
      <c r="D41" s="35"/>
    </row>
    <row r="42" spans="1:31" ht="14.45" customHeight="1">
      <c r="D42" s="15"/>
    </row>
    <row r="43" spans="1:31" ht="14.45" customHeight="1">
      <c r="D43" s="9"/>
    </row>
    <row r="44" spans="1:31" ht="14.45" customHeight="1">
      <c r="D44" s="9"/>
    </row>
    <row r="45" spans="1:31">
      <c r="D45" s="9"/>
    </row>
    <row r="46" spans="1:31" ht="14.45" customHeight="1">
      <c r="D46" s="9"/>
    </row>
    <row r="47" spans="1:31" ht="14.45" customHeight="1">
      <c r="D47" s="36"/>
    </row>
    <row r="48" spans="1:31" ht="14.45" customHeight="1">
      <c r="D48" s="36"/>
    </row>
    <row r="49" spans="1:4" ht="14.45" customHeight="1">
      <c r="D49" s="37"/>
    </row>
    <row r="50" spans="1:4" ht="14.45" customHeight="1">
      <c r="D50" s="9"/>
    </row>
    <row r="51" spans="1:4" ht="14.45" customHeight="1">
      <c r="D51" s="9"/>
    </row>
    <row r="52" spans="1:4" ht="14.45" customHeight="1">
      <c r="D52" s="9"/>
    </row>
    <row r="53" spans="1:4">
      <c r="D53" s="8"/>
    </row>
    <row r="54" spans="1:4" ht="15" customHeight="1">
      <c r="A54" s="8"/>
      <c r="B54" s="8"/>
      <c r="C54" s="37"/>
      <c r="D54" s="9"/>
    </row>
    <row r="55" spans="1:4" ht="15.95" customHeight="1">
      <c r="A55" s="8"/>
      <c r="B55" s="8"/>
      <c r="C55" s="8"/>
      <c r="D55" s="9"/>
    </row>
    <row r="56" spans="1:4" ht="17.45" customHeight="1">
      <c r="A56" s="8"/>
      <c r="B56" s="8"/>
      <c r="C56" s="8"/>
      <c r="D56" s="9"/>
    </row>
    <row r="57" spans="1:4" ht="14.45" customHeight="1">
      <c r="A57" s="8"/>
      <c r="B57" s="8"/>
      <c r="C57" s="8"/>
      <c r="D57" s="8"/>
    </row>
    <row r="58" spans="1:4">
      <c r="A58" s="8"/>
      <c r="B58" s="8"/>
      <c r="C58" s="8"/>
      <c r="D58" s="8"/>
    </row>
    <row r="59" spans="1:4" ht="16.5" customHeight="1">
      <c r="A59" s="8"/>
      <c r="B59" s="8"/>
      <c r="C59" s="8"/>
      <c r="D59" s="8"/>
    </row>
    <row r="60" spans="1:4" ht="14.45" customHeight="1">
      <c r="A60" s="38"/>
      <c r="B60" s="8"/>
      <c r="C60" s="8"/>
      <c r="D60" s="8"/>
    </row>
    <row r="61" spans="1:4" ht="14.45" customHeight="1">
      <c r="A61" s="8"/>
      <c r="B61" s="8"/>
      <c r="C61" s="8"/>
      <c r="D61" s="8"/>
    </row>
    <row r="64" spans="1:4" ht="14.45" customHeight="1"/>
    <row r="65" spans="1:4" ht="15" customHeight="1"/>
    <row r="67" spans="1:4">
      <c r="A67" s="8"/>
      <c r="B67" s="8"/>
      <c r="C67" s="8"/>
      <c r="D67" s="8"/>
    </row>
    <row r="68" spans="1:4">
      <c r="A68" s="8"/>
      <c r="B68" s="8"/>
      <c r="C68" s="8"/>
      <c r="D68" s="8"/>
    </row>
    <row r="69" spans="1:4" ht="14.25" customHeight="1">
      <c r="A69" s="8"/>
      <c r="B69" s="8"/>
      <c r="C69" s="8"/>
      <c r="D69" s="8"/>
    </row>
    <row r="70" spans="1:4">
      <c r="A70" s="8"/>
      <c r="B70" s="8"/>
      <c r="C70" s="8"/>
      <c r="D70" s="8"/>
    </row>
    <row r="71" spans="1:4">
      <c r="A71" s="8"/>
      <c r="B71" s="8"/>
      <c r="C71" s="8"/>
      <c r="D71" s="8"/>
    </row>
    <row r="72" spans="1:4">
      <c r="A72" s="8"/>
      <c r="B72" s="8"/>
      <c r="C72" s="8"/>
      <c r="D72" s="8"/>
    </row>
    <row r="73" spans="1:4">
      <c r="A73" s="8"/>
      <c r="B73" s="8"/>
      <c r="C73" s="8"/>
      <c r="D73" s="8"/>
    </row>
    <row r="74" spans="1:4">
      <c r="A74" s="8"/>
      <c r="B74" s="8"/>
      <c r="C74" s="8"/>
      <c r="D74" s="8"/>
    </row>
    <row r="75" spans="1:4">
      <c r="A75" s="8"/>
      <c r="B75" s="8"/>
      <c r="C75" s="8"/>
      <c r="D75" s="8"/>
    </row>
    <row r="76" spans="1:4">
      <c r="A76" s="8"/>
      <c r="B76" s="8"/>
      <c r="C76" s="8"/>
      <c r="D76" s="8"/>
    </row>
    <row r="77" spans="1:4">
      <c r="A77" s="8"/>
      <c r="B77" s="8"/>
      <c r="C77" s="8"/>
      <c r="D77" s="8"/>
    </row>
    <row r="78" spans="1:4">
      <c r="A78" s="333"/>
      <c r="B78" s="406"/>
      <c r="C78" s="406"/>
      <c r="D78" s="406"/>
    </row>
    <row r="79" spans="1:4">
      <c r="A79" s="407"/>
      <c r="B79" s="408"/>
      <c r="C79" s="408"/>
      <c r="D79" s="408"/>
    </row>
    <row r="80" spans="1:4">
      <c r="A80" s="333"/>
      <c r="B80" s="406"/>
      <c r="C80" s="406"/>
      <c r="D80" s="406"/>
    </row>
    <row r="81" spans="1:4">
      <c r="A81" s="407"/>
      <c r="B81" s="408"/>
      <c r="C81" s="408"/>
      <c r="D81" s="408"/>
    </row>
    <row r="82" spans="1:4">
      <c r="A82" s="333"/>
      <c r="B82" s="406"/>
      <c r="C82" s="406"/>
      <c r="D82" s="406"/>
    </row>
    <row r="83" spans="1:4">
      <c r="A83" s="407"/>
      <c r="B83" s="408"/>
      <c r="C83" s="408"/>
      <c r="D83" s="408"/>
    </row>
    <row r="84" spans="1:4">
      <c r="A84" s="333"/>
      <c r="B84" s="406"/>
      <c r="C84" s="406"/>
      <c r="D84" s="406"/>
    </row>
    <row r="85" spans="1:4">
      <c r="A85" s="407"/>
      <c r="B85" s="408"/>
      <c r="C85" s="408"/>
      <c r="D85" s="408"/>
    </row>
    <row r="86" spans="1:4">
      <c r="A86" s="333"/>
      <c r="B86" s="406"/>
      <c r="C86" s="406"/>
      <c r="D86" s="406"/>
    </row>
    <row r="87" spans="1:4">
      <c r="A87" s="407"/>
      <c r="B87" s="408"/>
      <c r="C87" s="408"/>
      <c r="D87" s="408"/>
    </row>
    <row r="88" spans="1:4">
      <c r="A88" s="333"/>
      <c r="B88" s="406"/>
      <c r="C88" s="406"/>
      <c r="D88" s="406"/>
    </row>
    <row r="89" spans="1:4">
      <c r="A89" s="407"/>
      <c r="B89" s="408"/>
      <c r="C89" s="408"/>
      <c r="D89" s="408"/>
    </row>
    <row r="90" spans="1:4" ht="14.45" customHeight="1"/>
    <row r="91" spans="1:4" ht="14.45" customHeight="1"/>
    <row r="92" spans="1:4" ht="14.45" customHeight="1"/>
    <row r="93" spans="1:4" ht="14.45" customHeight="1"/>
    <row r="94" spans="1:4" ht="14.45" customHeight="1"/>
    <row r="115" spans="2:8">
      <c r="B115" s="4" t="s">
        <v>59</v>
      </c>
    </row>
    <row r="116" spans="2:8">
      <c r="B116" s="4" t="s">
        <v>126</v>
      </c>
    </row>
    <row r="117" spans="2:8">
      <c r="B117" s="4" t="s">
        <v>127</v>
      </c>
    </row>
    <row r="118" spans="2:8">
      <c r="C118" s="38"/>
    </row>
    <row r="120" spans="2:8">
      <c r="D120" s="38"/>
    </row>
    <row r="124" spans="2:8">
      <c r="F124" s="38"/>
    </row>
    <row r="125" spans="2:8">
      <c r="H125" s="38"/>
    </row>
  </sheetData>
  <mergeCells count="38">
    <mergeCell ref="C17:D17"/>
    <mergeCell ref="C18:D18"/>
    <mergeCell ref="A15:B15"/>
    <mergeCell ref="C15:D15"/>
    <mergeCell ref="A16:B16"/>
    <mergeCell ref="C16:D16"/>
    <mergeCell ref="A17:A18"/>
    <mergeCell ref="C14:D14"/>
    <mergeCell ref="A5:B5"/>
    <mergeCell ref="C6:D6"/>
    <mergeCell ref="C7:D7"/>
    <mergeCell ref="A6:B6"/>
    <mergeCell ref="A7:B7"/>
    <mergeCell ref="C12:D12"/>
    <mergeCell ref="A14:B14"/>
    <mergeCell ref="A88:D89"/>
    <mergeCell ref="A32:B32"/>
    <mergeCell ref="A33:B33"/>
    <mergeCell ref="A78:D79"/>
    <mergeCell ref="A80:D81"/>
    <mergeCell ref="A82:D83"/>
    <mergeCell ref="A84:D85"/>
    <mergeCell ref="A86:D87"/>
    <mergeCell ref="A1:J1"/>
    <mergeCell ref="N2:O2"/>
    <mergeCell ref="I2:L2"/>
    <mergeCell ref="A9:B9"/>
    <mergeCell ref="A13:B13"/>
    <mergeCell ref="C9:D9"/>
    <mergeCell ref="C13:D13"/>
    <mergeCell ref="A12:B12"/>
    <mergeCell ref="A10:B10"/>
    <mergeCell ref="C10:D10"/>
    <mergeCell ref="C5:D5"/>
    <mergeCell ref="A8:B8"/>
    <mergeCell ref="C8:D8"/>
    <mergeCell ref="A11:B11"/>
    <mergeCell ref="C11:D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4"/>
  <sheetViews>
    <sheetView zoomScale="98" zoomScaleNormal="98" workbookViewId="0">
      <pane ySplit="1" topLeftCell="B24" activePane="bottomLeft" state="frozen"/>
      <selection pane="bottomLeft" activeCell="D26" sqref="D26"/>
    </sheetView>
  </sheetViews>
  <sheetFormatPr defaultColWidth="14.42578125" defaultRowHeight="15" customHeight="1"/>
  <cols>
    <col min="1" max="1" width="15" style="106" customWidth="1"/>
    <col min="2" max="2" width="15.5703125" style="106" customWidth="1"/>
    <col min="3" max="3" width="16" style="106" customWidth="1"/>
    <col min="4" max="4" width="14.7109375" style="106" customWidth="1"/>
    <col min="5" max="5" width="11.42578125" style="106" customWidth="1"/>
    <col min="6" max="6" width="10.7109375" style="106" customWidth="1"/>
    <col min="7" max="7" width="11.140625" style="106" customWidth="1"/>
    <col min="8" max="8" width="10.85546875" style="106" customWidth="1"/>
    <col min="9" max="9" width="11" style="106" customWidth="1"/>
    <col min="10" max="10" width="8.5703125" style="106" customWidth="1"/>
    <col min="11" max="11" width="10.7109375" style="106" customWidth="1"/>
    <col min="12" max="12" width="8.140625" style="106" customWidth="1"/>
    <col min="13" max="26" width="10.7109375" style="106" customWidth="1"/>
    <col min="27" max="16384" width="14.42578125" style="106"/>
  </cols>
  <sheetData>
    <row r="1" spans="1:17" s="326" customFormat="1" ht="37.5" customHeight="1">
      <c r="A1" s="323" t="s">
        <v>63</v>
      </c>
      <c r="B1" s="323" t="s">
        <v>64</v>
      </c>
      <c r="C1" s="323" t="s">
        <v>128</v>
      </c>
      <c r="D1" s="323" t="s">
        <v>65</v>
      </c>
      <c r="E1" s="465" t="s">
        <v>129</v>
      </c>
      <c r="F1" s="466"/>
      <c r="G1" s="465" t="s">
        <v>62</v>
      </c>
      <c r="H1" s="466"/>
      <c r="I1" s="469" t="s">
        <v>66</v>
      </c>
      <c r="J1" s="470"/>
      <c r="K1" s="457" t="s">
        <v>130</v>
      </c>
      <c r="L1" s="458"/>
      <c r="M1" s="324" t="s">
        <v>131</v>
      </c>
      <c r="N1" s="324" t="s">
        <v>132</v>
      </c>
      <c r="O1" s="325" t="s">
        <v>133</v>
      </c>
    </row>
    <row r="2" spans="1:17" ht="14.25" customHeight="1">
      <c r="A2" s="495" t="s">
        <v>134</v>
      </c>
      <c r="B2" s="486"/>
      <c r="C2" s="486"/>
      <c r="D2" s="473">
        <f>SUM(D4:D7)</f>
        <v>119</v>
      </c>
      <c r="E2" s="484">
        <f t="shared" ref="E2:L2" si="0">SUM(E4:E7)</f>
        <v>17796</v>
      </c>
      <c r="F2" s="473">
        <f t="shared" si="0"/>
        <v>0</v>
      </c>
      <c r="G2" s="473">
        <f t="shared" si="0"/>
        <v>600.02142857142849</v>
      </c>
      <c r="H2" s="473">
        <f t="shared" si="0"/>
        <v>0</v>
      </c>
      <c r="I2" s="473">
        <f t="shared" si="0"/>
        <v>0</v>
      </c>
      <c r="J2" s="473">
        <f t="shared" si="0"/>
        <v>0</v>
      </c>
      <c r="K2" s="473">
        <f t="shared" si="0"/>
        <v>0</v>
      </c>
      <c r="L2" s="471">
        <f t="shared" si="0"/>
        <v>0</v>
      </c>
      <c r="M2" s="180"/>
      <c r="N2" s="181"/>
      <c r="O2" s="181"/>
      <c r="P2" s="181"/>
      <c r="Q2" s="181"/>
    </row>
    <row r="3" spans="1:17" ht="15" customHeight="1">
      <c r="A3" s="496"/>
      <c r="B3" s="485"/>
      <c r="C3" s="485"/>
      <c r="D3" s="474"/>
      <c r="E3" s="487"/>
      <c r="F3" s="474"/>
      <c r="G3" s="474"/>
      <c r="H3" s="474"/>
      <c r="I3" s="474"/>
      <c r="J3" s="474"/>
      <c r="K3" s="474"/>
      <c r="L3" s="472"/>
      <c r="M3" s="180"/>
      <c r="N3" s="181"/>
      <c r="O3" s="181"/>
      <c r="P3" s="181"/>
      <c r="Q3" s="181"/>
    </row>
    <row r="4" spans="1:17" ht="14.25" customHeight="1">
      <c r="A4" s="150" t="s">
        <v>135</v>
      </c>
      <c r="B4" s="124" t="s">
        <v>136</v>
      </c>
      <c r="C4" s="125" t="s">
        <v>137</v>
      </c>
      <c r="D4" s="126">
        <v>28</v>
      </c>
      <c r="E4" s="127">
        <v>4690</v>
      </c>
      <c r="F4" s="461" t="s">
        <v>138</v>
      </c>
      <c r="G4" s="128">
        <f>E4/D4</f>
        <v>167.5</v>
      </c>
      <c r="H4" s="461" t="s">
        <v>138</v>
      </c>
      <c r="I4" s="128" t="s">
        <v>139</v>
      </c>
      <c r="J4" s="461" t="s">
        <v>138</v>
      </c>
      <c r="K4" s="128" t="s">
        <v>140</v>
      </c>
      <c r="L4" s="463" t="s">
        <v>138</v>
      </c>
      <c r="M4" s="180"/>
      <c r="N4" s="181"/>
      <c r="O4" s="181"/>
      <c r="P4" s="181"/>
      <c r="Q4" s="181"/>
    </row>
    <row r="5" spans="1:17" ht="14.25" customHeight="1">
      <c r="A5" s="150" t="s">
        <v>141</v>
      </c>
      <c r="B5" s="124" t="s">
        <v>142</v>
      </c>
      <c r="C5" s="125" t="s">
        <v>143</v>
      </c>
      <c r="D5" s="126">
        <v>28</v>
      </c>
      <c r="E5" s="127">
        <v>3647</v>
      </c>
      <c r="F5" s="461"/>
      <c r="G5" s="128">
        <f>E5/D5</f>
        <v>130.25</v>
      </c>
      <c r="H5" s="461"/>
      <c r="I5" s="128" t="s">
        <v>139</v>
      </c>
      <c r="J5" s="461"/>
      <c r="K5" s="128" t="s">
        <v>140</v>
      </c>
      <c r="L5" s="463"/>
      <c r="M5" s="180"/>
      <c r="N5" s="181"/>
      <c r="O5" s="181"/>
      <c r="P5" s="181"/>
      <c r="Q5" s="181"/>
    </row>
    <row r="6" spans="1:17" ht="14.25" customHeight="1">
      <c r="A6" s="150" t="s">
        <v>144</v>
      </c>
      <c r="B6" s="124" t="s">
        <v>145</v>
      </c>
      <c r="C6" s="125" t="s">
        <v>146</v>
      </c>
      <c r="D6" s="126">
        <v>28</v>
      </c>
      <c r="E6" s="127">
        <v>4482</v>
      </c>
      <c r="F6" s="461"/>
      <c r="G6" s="128">
        <f>E6/D6</f>
        <v>160.07142857142858</v>
      </c>
      <c r="H6" s="461"/>
      <c r="I6" s="128" t="s">
        <v>139</v>
      </c>
      <c r="J6" s="461"/>
      <c r="K6" s="128" t="s">
        <v>140</v>
      </c>
      <c r="L6" s="463"/>
      <c r="M6" s="180"/>
      <c r="N6" s="181"/>
      <c r="O6" s="181"/>
      <c r="P6" s="181"/>
      <c r="Q6" s="181"/>
    </row>
    <row r="7" spans="1:17" ht="14.25" customHeight="1">
      <c r="A7" s="151" t="s">
        <v>147</v>
      </c>
      <c r="B7" s="152" t="s">
        <v>148</v>
      </c>
      <c r="C7" s="153" t="s">
        <v>149</v>
      </c>
      <c r="D7" s="154">
        <v>35</v>
      </c>
      <c r="E7" s="155">
        <v>4977</v>
      </c>
      <c r="F7" s="462"/>
      <c r="G7" s="156">
        <f>E7/D7</f>
        <v>142.19999999999999</v>
      </c>
      <c r="H7" s="462"/>
      <c r="I7" s="156" t="s">
        <v>139</v>
      </c>
      <c r="J7" s="462"/>
      <c r="K7" s="156" t="s">
        <v>140</v>
      </c>
      <c r="L7" s="464"/>
      <c r="M7" s="180"/>
      <c r="N7" s="181"/>
      <c r="O7" s="181"/>
      <c r="P7" s="181"/>
      <c r="Q7" s="181"/>
    </row>
    <row r="8" spans="1:17" ht="14.25" customHeight="1">
      <c r="A8" s="491" t="s">
        <v>150</v>
      </c>
      <c r="B8" s="492"/>
      <c r="C8" s="492"/>
      <c r="D8" s="501">
        <f>SUM(D10:D13)</f>
        <v>119</v>
      </c>
      <c r="E8" s="477">
        <f>SUM(E10:E13)</f>
        <v>31542</v>
      </c>
      <c r="F8" s="501">
        <f t="shared" ref="F8:L8" si="1">SUM(F10:F13)</f>
        <v>0</v>
      </c>
      <c r="G8" s="501">
        <f t="shared" si="1"/>
        <v>1052.5357142857142</v>
      </c>
      <c r="H8" s="501">
        <f t="shared" si="1"/>
        <v>0</v>
      </c>
      <c r="I8" s="501">
        <f t="shared" si="1"/>
        <v>0</v>
      </c>
      <c r="J8" s="501">
        <f t="shared" si="1"/>
        <v>0</v>
      </c>
      <c r="K8" s="501">
        <f t="shared" si="1"/>
        <v>0</v>
      </c>
      <c r="L8" s="513">
        <f t="shared" si="1"/>
        <v>0</v>
      </c>
      <c r="M8" s="527"/>
      <c r="N8" s="475"/>
      <c r="O8" s="181"/>
      <c r="P8" s="181"/>
      <c r="Q8" s="181"/>
    </row>
    <row r="9" spans="1:17" ht="15" customHeight="1">
      <c r="A9" s="493"/>
      <c r="B9" s="494"/>
      <c r="C9" s="494"/>
      <c r="D9" s="502"/>
      <c r="E9" s="481"/>
      <c r="F9" s="502"/>
      <c r="G9" s="502"/>
      <c r="H9" s="502"/>
      <c r="I9" s="502"/>
      <c r="J9" s="502"/>
      <c r="K9" s="502"/>
      <c r="L9" s="514"/>
      <c r="M9" s="528"/>
      <c r="N9" s="476"/>
      <c r="O9" s="181"/>
      <c r="P9" s="181"/>
      <c r="Q9" s="181"/>
    </row>
    <row r="10" spans="1:17" ht="14.25" customHeight="1">
      <c r="A10" s="157" t="s">
        <v>151</v>
      </c>
      <c r="B10" s="129" t="s">
        <v>152</v>
      </c>
      <c r="C10" s="130" t="s">
        <v>153</v>
      </c>
      <c r="D10" s="131">
        <v>28</v>
      </c>
      <c r="E10" s="132">
        <v>7260</v>
      </c>
      <c r="F10" s="461" t="s">
        <v>138</v>
      </c>
      <c r="G10" s="133">
        <f>E10/D10</f>
        <v>259.28571428571428</v>
      </c>
      <c r="H10" s="461" t="s">
        <v>138</v>
      </c>
      <c r="I10" s="134" t="s">
        <v>139</v>
      </c>
      <c r="J10" s="461" t="s">
        <v>138</v>
      </c>
      <c r="K10" s="134" t="s">
        <v>140</v>
      </c>
      <c r="L10" s="463" t="s">
        <v>138</v>
      </c>
      <c r="M10" s="528"/>
      <c r="N10" s="476"/>
      <c r="O10" s="181"/>
      <c r="P10" s="181"/>
      <c r="Q10" s="181"/>
    </row>
    <row r="11" spans="1:17" ht="14.25" customHeight="1">
      <c r="A11" s="157" t="s">
        <v>154</v>
      </c>
      <c r="B11" s="135" t="s">
        <v>155</v>
      </c>
      <c r="C11" s="136" t="s">
        <v>156</v>
      </c>
      <c r="D11" s="131">
        <v>35</v>
      </c>
      <c r="E11" s="134">
        <v>10355</v>
      </c>
      <c r="F11" s="461"/>
      <c r="G11" s="134">
        <f>E11/D11</f>
        <v>295.85714285714283</v>
      </c>
      <c r="H11" s="461"/>
      <c r="I11" s="134" t="s">
        <v>139</v>
      </c>
      <c r="J11" s="461"/>
      <c r="K11" s="134" t="s">
        <v>140</v>
      </c>
      <c r="L11" s="463"/>
      <c r="M11" s="528"/>
      <c r="N11" s="476"/>
      <c r="O11" s="181"/>
      <c r="P11" s="181"/>
      <c r="Q11" s="181"/>
    </row>
    <row r="12" spans="1:17" ht="14.25" customHeight="1">
      <c r="A12" s="157" t="s">
        <v>157</v>
      </c>
      <c r="B12" s="137" t="s">
        <v>158</v>
      </c>
      <c r="C12" s="136" t="s">
        <v>159</v>
      </c>
      <c r="D12" s="131">
        <v>28</v>
      </c>
      <c r="E12" s="134">
        <v>6241</v>
      </c>
      <c r="F12" s="461"/>
      <c r="G12" s="134">
        <f>E12/D12</f>
        <v>222.89285714285714</v>
      </c>
      <c r="H12" s="461"/>
      <c r="I12" s="134" t="s">
        <v>139</v>
      </c>
      <c r="J12" s="461"/>
      <c r="K12" s="134" t="s">
        <v>140</v>
      </c>
      <c r="L12" s="463"/>
      <c r="M12" s="528"/>
      <c r="N12" s="476"/>
      <c r="O12" s="181"/>
      <c r="P12" s="181"/>
      <c r="Q12" s="181"/>
    </row>
    <row r="13" spans="1:17" ht="14.25" customHeight="1">
      <c r="A13" s="158" t="s">
        <v>160</v>
      </c>
      <c r="B13" s="159" t="s">
        <v>161</v>
      </c>
      <c r="C13" s="160" t="s">
        <v>162</v>
      </c>
      <c r="D13" s="161">
        <v>28</v>
      </c>
      <c r="E13" s="162">
        <v>7686</v>
      </c>
      <c r="F13" s="462"/>
      <c r="G13" s="162">
        <f>E13/D13</f>
        <v>274.5</v>
      </c>
      <c r="H13" s="462"/>
      <c r="I13" s="162" t="s">
        <v>139</v>
      </c>
      <c r="J13" s="462"/>
      <c r="K13" s="162" t="s">
        <v>140</v>
      </c>
      <c r="L13" s="464"/>
      <c r="M13" s="528"/>
      <c r="N13" s="476"/>
      <c r="O13" s="181"/>
      <c r="P13" s="181"/>
      <c r="Q13" s="181"/>
    </row>
    <row r="14" spans="1:17" ht="14.25" customHeight="1">
      <c r="A14" s="505" t="s">
        <v>163</v>
      </c>
      <c r="B14" s="507" t="s">
        <v>161</v>
      </c>
      <c r="C14" s="507">
        <v>2023</v>
      </c>
      <c r="D14" s="509">
        <f>SUM(D2+D8)</f>
        <v>238</v>
      </c>
      <c r="E14" s="467">
        <f>SUM(E2+E8)</f>
        <v>49338</v>
      </c>
      <c r="F14" s="467">
        <f>SUM(F2+F8)</f>
        <v>0</v>
      </c>
      <c r="G14" s="467">
        <f>AVERAGE(G4:G7,G10:G13)</f>
        <v>206.56964285714284</v>
      </c>
      <c r="H14" s="467">
        <f>AVERAGE(H4:H7,H1:H13)</f>
        <v>0</v>
      </c>
      <c r="I14" s="467">
        <f>SUM(I2+I8)</f>
        <v>0</v>
      </c>
      <c r="J14" s="467">
        <f>SUM(J2+J8)</f>
        <v>0</v>
      </c>
      <c r="K14" s="467">
        <v>105</v>
      </c>
      <c r="L14" s="459">
        <f>SUM(L2+L8)</f>
        <v>0</v>
      </c>
      <c r="M14" s="531">
        <v>105</v>
      </c>
      <c r="N14" s="459">
        <f>SUM(N2+N8)</f>
        <v>0</v>
      </c>
      <c r="O14" s="181"/>
      <c r="P14" s="181"/>
      <c r="Q14" s="181"/>
    </row>
    <row r="15" spans="1:17" ht="14.25" customHeight="1">
      <c r="A15" s="506"/>
      <c r="B15" s="508"/>
      <c r="C15" s="508"/>
      <c r="D15" s="510"/>
      <c r="E15" s="468"/>
      <c r="F15" s="468"/>
      <c r="G15" s="468"/>
      <c r="H15" s="468"/>
      <c r="I15" s="468"/>
      <c r="J15" s="468"/>
      <c r="K15" s="468"/>
      <c r="L15" s="460"/>
      <c r="M15" s="532"/>
      <c r="N15" s="460"/>
      <c r="O15" s="181"/>
      <c r="P15" s="181"/>
      <c r="Q15" s="181"/>
    </row>
    <row r="16" spans="1:17" ht="14.25" customHeight="1">
      <c r="A16" s="542"/>
      <c r="B16" s="543"/>
      <c r="C16" s="543"/>
      <c r="D16" s="544"/>
      <c r="E16" s="545"/>
      <c r="F16" s="545"/>
      <c r="G16" s="545"/>
      <c r="H16" s="545"/>
      <c r="I16" s="545"/>
      <c r="J16" s="545"/>
      <c r="K16" s="545"/>
      <c r="L16" s="546"/>
      <c r="M16" s="547"/>
      <c r="N16" s="546"/>
      <c r="O16" s="181"/>
      <c r="P16" s="181"/>
      <c r="Q16" s="181"/>
    </row>
    <row r="17" spans="1:30" ht="14.25" customHeight="1">
      <c r="A17" s="515" t="s">
        <v>164</v>
      </c>
      <c r="B17" s="497"/>
      <c r="C17" s="497"/>
      <c r="D17" s="503">
        <f>SUM(D19:D22)</f>
        <v>121</v>
      </c>
      <c r="E17" s="499">
        <f>SUM(E19:E22)</f>
        <v>25635</v>
      </c>
      <c r="F17" s="497">
        <f>SUM(F19:F22)</f>
        <v>0</v>
      </c>
      <c r="G17" s="499">
        <f>AVERAGE(G19:G22)</f>
        <v>211.42673771121355</v>
      </c>
      <c r="H17" s="497">
        <f>SUM(H19:H22)</f>
        <v>0</v>
      </c>
      <c r="I17" s="499">
        <f>SUM(I19:I22)</f>
        <v>27243</v>
      </c>
      <c r="J17" s="499">
        <f>SUM(J19:J22)</f>
        <v>0</v>
      </c>
      <c r="K17" s="499">
        <f>SUM(K19:K22)</f>
        <v>-1608</v>
      </c>
      <c r="L17" s="482">
        <f>SUM(L19:L22)</f>
        <v>0</v>
      </c>
      <c r="M17" s="527">
        <f>M14+K17</f>
        <v>-1503</v>
      </c>
      <c r="N17" s="529">
        <f>N14+L17</f>
        <v>0</v>
      </c>
      <c r="O17" s="181"/>
      <c r="P17" s="181"/>
      <c r="Q17" s="181"/>
    </row>
    <row r="18" spans="1:30" ht="14.25" customHeight="1">
      <c r="A18" s="516"/>
      <c r="B18" s="498"/>
      <c r="C18" s="498"/>
      <c r="D18" s="504"/>
      <c r="E18" s="500"/>
      <c r="F18" s="498"/>
      <c r="G18" s="498"/>
      <c r="H18" s="498"/>
      <c r="I18" s="500"/>
      <c r="J18" s="500"/>
      <c r="K18" s="500"/>
      <c r="L18" s="483"/>
      <c r="M18" s="528"/>
      <c r="N18" s="530"/>
      <c r="O18" s="181"/>
      <c r="P18" s="181"/>
      <c r="Q18" s="181"/>
      <c r="Y18" s="26"/>
      <c r="Z18" s="26"/>
      <c r="AA18" s="26"/>
      <c r="AB18" s="26"/>
      <c r="AC18" s="26"/>
      <c r="AD18" s="26"/>
    </row>
    <row r="19" spans="1:30" ht="14.25" customHeight="1">
      <c r="A19" s="163" t="s">
        <v>165</v>
      </c>
      <c r="B19" s="138" t="s">
        <v>166</v>
      </c>
      <c r="C19" s="139" t="s">
        <v>167</v>
      </c>
      <c r="D19" s="140">
        <v>28</v>
      </c>
      <c r="E19" s="141">
        <v>6371</v>
      </c>
      <c r="F19" s="461" t="s">
        <v>138</v>
      </c>
      <c r="G19" s="141">
        <f>E19/D19</f>
        <v>227.53571428571428</v>
      </c>
      <c r="H19" s="461" t="s">
        <v>138</v>
      </c>
      <c r="I19" s="141">
        <v>6484</v>
      </c>
      <c r="J19" s="461" t="s">
        <v>138</v>
      </c>
      <c r="K19" s="141">
        <f>E19-I19</f>
        <v>-113</v>
      </c>
      <c r="L19" s="463" t="s">
        <v>138</v>
      </c>
      <c r="M19" s="528"/>
      <c r="N19" s="530"/>
      <c r="O19" s="181"/>
      <c r="P19" s="181"/>
      <c r="Q19" s="181"/>
      <c r="Y19" s="26"/>
      <c r="Z19" s="26"/>
      <c r="AA19" s="26"/>
      <c r="AB19" s="26"/>
      <c r="AC19" s="26"/>
      <c r="AD19" s="26"/>
    </row>
    <row r="20" spans="1:30" ht="14.25" customHeight="1">
      <c r="A20" s="163" t="s">
        <v>168</v>
      </c>
      <c r="B20" s="138" t="s">
        <v>169</v>
      </c>
      <c r="C20" s="139" t="s">
        <v>170</v>
      </c>
      <c r="D20" s="140">
        <v>32</v>
      </c>
      <c r="E20" s="141">
        <v>7972</v>
      </c>
      <c r="F20" s="461"/>
      <c r="G20" s="141">
        <f>E20/D20</f>
        <v>249.125</v>
      </c>
      <c r="H20" s="461"/>
      <c r="I20" s="141">
        <v>8253</v>
      </c>
      <c r="J20" s="461"/>
      <c r="K20" s="141">
        <f>E20-I20</f>
        <v>-281</v>
      </c>
      <c r="L20" s="463"/>
      <c r="M20" s="528"/>
      <c r="N20" s="530"/>
      <c r="O20" s="181"/>
      <c r="P20" s="181"/>
      <c r="Q20" s="181"/>
      <c r="Y20" s="26"/>
      <c r="Z20" s="26"/>
      <c r="AA20" s="26"/>
      <c r="AB20" s="26"/>
      <c r="AC20" s="26"/>
      <c r="AD20" s="26"/>
    </row>
    <row r="21" spans="1:30" ht="14.25" customHeight="1">
      <c r="A21" s="163" t="s">
        <v>171</v>
      </c>
      <c r="B21" s="138" t="s">
        <v>172</v>
      </c>
      <c r="C21" s="142" t="s">
        <v>173</v>
      </c>
      <c r="D21" s="143">
        <v>31</v>
      </c>
      <c r="E21" s="141">
        <v>6839</v>
      </c>
      <c r="F21" s="461"/>
      <c r="G21" s="141">
        <f>E21/D21</f>
        <v>220.61290322580646</v>
      </c>
      <c r="H21" s="461"/>
      <c r="I21" s="141">
        <v>6553</v>
      </c>
      <c r="J21" s="461"/>
      <c r="K21" s="141">
        <f>E21-I21</f>
        <v>286</v>
      </c>
      <c r="L21" s="463"/>
      <c r="M21" s="528"/>
      <c r="N21" s="530"/>
      <c r="O21" s="181"/>
      <c r="P21" s="181"/>
      <c r="Q21" s="181"/>
      <c r="Y21" s="26"/>
      <c r="Z21" s="26"/>
      <c r="AA21" s="26"/>
      <c r="AB21" s="26"/>
      <c r="AC21" s="26"/>
      <c r="AD21" s="26"/>
    </row>
    <row r="22" spans="1:30" ht="14.25" customHeight="1">
      <c r="A22" s="164" t="s">
        <v>174</v>
      </c>
      <c r="B22" s="165" t="s">
        <v>175</v>
      </c>
      <c r="C22" s="166" t="s">
        <v>176</v>
      </c>
      <c r="D22" s="167">
        <v>30</v>
      </c>
      <c r="E22" s="168">
        <v>4453</v>
      </c>
      <c r="F22" s="462"/>
      <c r="G22" s="168">
        <f>E22/D22</f>
        <v>148.43333333333334</v>
      </c>
      <c r="H22" s="462"/>
      <c r="I22" s="168">
        <v>5953</v>
      </c>
      <c r="J22" s="462"/>
      <c r="K22" s="168">
        <f>E22-I22</f>
        <v>-1500</v>
      </c>
      <c r="L22" s="464"/>
      <c r="M22" s="528"/>
      <c r="N22" s="530"/>
      <c r="O22" s="181"/>
      <c r="P22" s="181"/>
      <c r="Q22" s="181"/>
      <c r="Y22" s="26"/>
      <c r="Z22" s="26"/>
      <c r="AA22" s="26"/>
      <c r="AB22" s="26"/>
      <c r="AC22" s="26"/>
      <c r="AD22" s="26"/>
    </row>
    <row r="23" spans="1:30" ht="14.25" customHeight="1">
      <c r="A23" s="495" t="s">
        <v>177</v>
      </c>
      <c r="B23" s="486"/>
      <c r="C23" s="486"/>
      <c r="D23" s="473">
        <f>SUM(D25:D28)</f>
        <v>107</v>
      </c>
      <c r="E23" s="484">
        <f t="shared" ref="E23:L23" si="2">SUM(E25:E28)</f>
        <v>27800</v>
      </c>
      <c r="F23" s="486">
        <f t="shared" si="2"/>
        <v>0</v>
      </c>
      <c r="G23" s="484">
        <f>AVERAGE(G25:G28)</f>
        <v>259.07065217391306</v>
      </c>
      <c r="H23" s="486">
        <f t="shared" si="2"/>
        <v>0</v>
      </c>
      <c r="I23" s="484">
        <f t="shared" si="2"/>
        <v>25434</v>
      </c>
      <c r="J23" s="484">
        <f t="shared" si="2"/>
        <v>0</v>
      </c>
      <c r="K23" s="484">
        <f t="shared" si="2"/>
        <v>2366</v>
      </c>
      <c r="L23" s="488">
        <f t="shared" si="2"/>
        <v>0</v>
      </c>
      <c r="M23" s="527">
        <f>M17+K23</f>
        <v>863</v>
      </c>
      <c r="N23" s="475">
        <f>N17+L23</f>
        <v>0</v>
      </c>
      <c r="O23" s="181"/>
      <c r="P23" s="181"/>
      <c r="Q23" s="181"/>
      <c r="Y23" s="26"/>
      <c r="Z23" s="26"/>
      <c r="AA23" s="26"/>
      <c r="AB23" s="26"/>
      <c r="AC23" s="26"/>
      <c r="AD23" s="26"/>
    </row>
    <row r="24" spans="1:30" ht="14.25" customHeight="1">
      <c r="A24" s="496"/>
      <c r="B24" s="485"/>
      <c r="C24" s="485"/>
      <c r="D24" s="474"/>
      <c r="E24" s="487"/>
      <c r="F24" s="485"/>
      <c r="G24" s="485"/>
      <c r="H24" s="485"/>
      <c r="I24" s="487"/>
      <c r="J24" s="487"/>
      <c r="K24" s="487"/>
      <c r="L24" s="489"/>
      <c r="M24" s="528"/>
      <c r="N24" s="476"/>
      <c r="O24" s="181"/>
      <c r="P24" s="181"/>
      <c r="Q24" s="181"/>
      <c r="Y24" s="26"/>
      <c r="Z24" s="26"/>
      <c r="AA24" s="26"/>
      <c r="AB24" s="26"/>
      <c r="AC24" s="26"/>
      <c r="AD24" s="26"/>
    </row>
    <row r="25" spans="1:30" ht="14.25" customHeight="1">
      <c r="A25" s="150" t="s">
        <v>178</v>
      </c>
      <c r="B25" s="144" t="s">
        <v>179</v>
      </c>
      <c r="C25" s="125" t="s">
        <v>180</v>
      </c>
      <c r="D25" s="126">
        <v>35</v>
      </c>
      <c r="E25" s="127">
        <v>7300</v>
      </c>
      <c r="F25" s="461" t="s">
        <v>138</v>
      </c>
      <c r="G25" s="145">
        <f>E25/D25</f>
        <v>208.57142857142858</v>
      </c>
      <c r="H25" s="461" t="s">
        <v>138</v>
      </c>
      <c r="I25" s="128">
        <v>7711</v>
      </c>
      <c r="J25" s="461" t="s">
        <v>138</v>
      </c>
      <c r="K25" s="128">
        <f>E25-I25</f>
        <v>-411</v>
      </c>
      <c r="L25" s="463" t="s">
        <v>138</v>
      </c>
      <c r="M25" s="528"/>
      <c r="N25" s="476"/>
      <c r="O25" s="181"/>
      <c r="P25" s="181"/>
      <c r="Q25" s="181"/>
      <c r="Y25" s="26"/>
      <c r="Z25" s="26"/>
      <c r="AA25" s="26"/>
      <c r="AB25" s="26"/>
      <c r="AC25" s="26"/>
      <c r="AD25" s="26"/>
    </row>
    <row r="26" spans="1:30" ht="14.25" customHeight="1">
      <c r="A26" s="150" t="s">
        <v>136</v>
      </c>
      <c r="B26" s="124" t="s">
        <v>181</v>
      </c>
      <c r="C26" s="125" t="s">
        <v>182</v>
      </c>
      <c r="D26" s="126">
        <v>23</v>
      </c>
      <c r="E26" s="127">
        <v>6136</v>
      </c>
      <c r="F26" s="461"/>
      <c r="G26" s="145">
        <f>E26/D26</f>
        <v>266.78260869565219</v>
      </c>
      <c r="H26" s="461"/>
      <c r="I26" s="128">
        <v>6176.5</v>
      </c>
      <c r="J26" s="461"/>
      <c r="K26" s="128">
        <f>E26-I26</f>
        <v>-40.5</v>
      </c>
      <c r="L26" s="463"/>
      <c r="M26" s="528"/>
      <c r="N26" s="476"/>
      <c r="O26" s="181"/>
      <c r="P26" s="181"/>
      <c r="Q26" s="181"/>
      <c r="Y26" s="26"/>
      <c r="Z26" s="26"/>
      <c r="AA26" s="26"/>
      <c r="AB26" s="26"/>
      <c r="AC26" s="26"/>
      <c r="AD26" s="26"/>
    </row>
    <row r="27" spans="1:30" ht="14.25" customHeight="1">
      <c r="A27" s="150" t="s">
        <v>142</v>
      </c>
      <c r="B27" s="124" t="s">
        <v>183</v>
      </c>
      <c r="C27" s="125" t="s">
        <v>184</v>
      </c>
      <c r="D27" s="126">
        <v>21</v>
      </c>
      <c r="E27" s="146">
        <v>4026</v>
      </c>
      <c r="F27" s="461"/>
      <c r="G27" s="145">
        <f>E27/D27</f>
        <v>191.71428571428572</v>
      </c>
      <c r="H27" s="461"/>
      <c r="I27" s="128">
        <v>1969.5</v>
      </c>
      <c r="J27" s="461"/>
      <c r="K27" s="128">
        <f>E27-I27</f>
        <v>2056.5</v>
      </c>
      <c r="L27" s="463"/>
      <c r="M27" s="528"/>
      <c r="N27" s="476"/>
      <c r="O27" s="181"/>
      <c r="P27" s="181"/>
      <c r="Q27" s="181"/>
      <c r="Y27" s="26"/>
      <c r="Z27" s="26"/>
      <c r="AA27" s="26"/>
      <c r="AB27" s="26"/>
      <c r="AC27" s="26"/>
      <c r="AD27" s="26"/>
    </row>
    <row r="28" spans="1:30" ht="14.25" customHeight="1">
      <c r="A28" s="151" t="s">
        <v>145</v>
      </c>
      <c r="B28" s="152" t="s">
        <v>185</v>
      </c>
      <c r="C28" s="153" t="s">
        <v>186</v>
      </c>
      <c r="D28" s="154">
        <v>28</v>
      </c>
      <c r="E28" s="155">
        <v>10338</v>
      </c>
      <c r="F28" s="462"/>
      <c r="G28" s="169">
        <f>E28/D28</f>
        <v>369.21428571428572</v>
      </c>
      <c r="H28" s="462"/>
      <c r="I28" s="156">
        <v>9577</v>
      </c>
      <c r="J28" s="462"/>
      <c r="K28" s="156">
        <f>E28-I28</f>
        <v>761</v>
      </c>
      <c r="L28" s="464"/>
      <c r="M28" s="528"/>
      <c r="N28" s="476"/>
      <c r="O28" s="181"/>
      <c r="P28" s="181"/>
      <c r="Q28" s="181"/>
      <c r="Y28" s="26"/>
      <c r="Z28" s="26"/>
      <c r="AA28" s="26"/>
      <c r="AB28" s="26"/>
      <c r="AC28" s="26"/>
      <c r="AD28" s="26"/>
    </row>
    <row r="29" spans="1:30" ht="14.25" customHeight="1">
      <c r="A29" s="491" t="s">
        <v>187</v>
      </c>
      <c r="B29" s="492"/>
      <c r="C29" s="492"/>
      <c r="D29" s="501">
        <f>SUM(D31:D34)</f>
        <v>63</v>
      </c>
      <c r="E29" s="477">
        <f>SUM(E31:E34)</f>
        <v>23295.41</v>
      </c>
      <c r="F29" s="490">
        <f>SUM(F31:F34)</f>
        <v>28.36</v>
      </c>
      <c r="G29" s="477">
        <f>AVERAGE(G31:G34)</f>
        <v>280.14888328776487</v>
      </c>
      <c r="H29" s="479">
        <f>SUM(H31:H34)</f>
        <v>1.3683971291866028</v>
      </c>
      <c r="I29" s="477">
        <f>SUM(I31:I34)</f>
        <v>23208.940000000002</v>
      </c>
      <c r="J29" s="477">
        <f>SUM(J31:J34)</f>
        <v>28.1</v>
      </c>
      <c r="K29" s="477">
        <f>SUM(K31:K34)</f>
        <v>86.469999999999345</v>
      </c>
      <c r="L29" s="475">
        <f>SUM(L31:L34)</f>
        <v>0.25999999999999801</v>
      </c>
      <c r="M29" s="527">
        <f>M23+K29</f>
        <v>949.46999999999935</v>
      </c>
      <c r="N29" s="475">
        <f>N23+L29</f>
        <v>0.25999999999999801</v>
      </c>
      <c r="O29" s="181"/>
      <c r="P29" s="130"/>
      <c r="Q29" s="130"/>
      <c r="R29" s="182"/>
      <c r="S29" s="132"/>
      <c r="T29" s="132"/>
      <c r="U29" s="132"/>
      <c r="V29" s="132"/>
      <c r="W29" s="132"/>
      <c r="X29" s="132"/>
      <c r="Y29" s="26"/>
      <c r="Z29" s="26"/>
      <c r="AA29" s="26"/>
      <c r="AB29" s="26"/>
      <c r="AC29" s="26"/>
      <c r="AD29" s="26"/>
    </row>
    <row r="30" spans="1:30" ht="14.25" customHeight="1">
      <c r="A30" s="493"/>
      <c r="B30" s="494"/>
      <c r="C30" s="494"/>
      <c r="D30" s="502"/>
      <c r="E30" s="481"/>
      <c r="F30" s="478"/>
      <c r="G30" s="478"/>
      <c r="H30" s="480"/>
      <c r="I30" s="481"/>
      <c r="J30" s="481"/>
      <c r="K30" s="481"/>
      <c r="L30" s="476"/>
      <c r="M30" s="528"/>
      <c r="N30" s="476"/>
      <c r="Y30" s="26"/>
      <c r="Z30" s="26"/>
      <c r="AA30" s="26"/>
      <c r="AB30" s="26"/>
      <c r="AC30" s="26"/>
      <c r="AD30" s="26"/>
    </row>
    <row r="31" spans="1:30" ht="14.25" customHeight="1">
      <c r="A31" s="170" t="s">
        <v>151</v>
      </c>
      <c r="B31" s="147" t="s">
        <v>152</v>
      </c>
      <c r="C31" s="130" t="s">
        <v>188</v>
      </c>
      <c r="D31" s="131">
        <v>21</v>
      </c>
      <c r="E31" s="132">
        <v>4608</v>
      </c>
      <c r="F31" s="148" t="s">
        <v>138</v>
      </c>
      <c r="G31" s="133">
        <f>E31/D31</f>
        <v>219.42857142857142</v>
      </c>
      <c r="H31" s="148" t="s">
        <v>138</v>
      </c>
      <c r="I31" s="134">
        <v>5018</v>
      </c>
      <c r="J31" s="148" t="s">
        <v>138</v>
      </c>
      <c r="K31" s="134">
        <f>E31-I31</f>
        <v>-410</v>
      </c>
      <c r="L31" s="171" t="s">
        <v>138</v>
      </c>
      <c r="M31" s="528"/>
      <c r="N31" s="476"/>
      <c r="Y31" s="26"/>
      <c r="Z31" s="26"/>
      <c r="AA31" s="26"/>
      <c r="AB31" s="26"/>
      <c r="AC31" s="26"/>
      <c r="AD31" s="26"/>
    </row>
    <row r="32" spans="1:30" ht="14.25" customHeight="1">
      <c r="A32" s="170" t="s">
        <v>154</v>
      </c>
      <c r="B32" s="136" t="s">
        <v>189</v>
      </c>
      <c r="C32" s="136" t="s">
        <v>190</v>
      </c>
      <c r="D32" s="131">
        <v>19</v>
      </c>
      <c r="E32" s="134">
        <v>7209</v>
      </c>
      <c r="F32" s="134">
        <v>11.05</v>
      </c>
      <c r="G32" s="133">
        <f>E32/D32</f>
        <v>379.42105263157896</v>
      </c>
      <c r="H32" s="133">
        <f>F32/D32</f>
        <v>0.58157894736842108</v>
      </c>
      <c r="I32" s="134">
        <v>5496.5</v>
      </c>
      <c r="J32" s="134">
        <v>0.25</v>
      </c>
      <c r="K32" s="134">
        <f>E32-I32</f>
        <v>1712.5</v>
      </c>
      <c r="L32" s="172">
        <f>F32-J32</f>
        <v>10.8</v>
      </c>
      <c r="M32" s="528"/>
      <c r="N32" s="476"/>
      <c r="O32" s="26"/>
      <c r="P32" s="26"/>
      <c r="Q32" s="26"/>
      <c r="Y32" s="26"/>
      <c r="Z32" s="26"/>
      <c r="AA32" s="26"/>
      <c r="AB32" s="26"/>
      <c r="AC32" s="26"/>
      <c r="AD32" s="26"/>
    </row>
    <row r="33" spans="1:30" ht="14.25" customHeight="1">
      <c r="A33" s="170" t="s">
        <v>191</v>
      </c>
      <c r="B33" s="149" t="s">
        <v>192</v>
      </c>
      <c r="C33" s="136" t="s">
        <v>193</v>
      </c>
      <c r="D33" s="131">
        <v>22</v>
      </c>
      <c r="E33" s="134">
        <v>11478.41</v>
      </c>
      <c r="F33" s="134">
        <v>17.309999999999999</v>
      </c>
      <c r="G33" s="133">
        <f>E33/D33</f>
        <v>521.74590909090909</v>
      </c>
      <c r="H33" s="133">
        <f>F33/D33</f>
        <v>0.78681818181818175</v>
      </c>
      <c r="I33" s="134">
        <v>12694.44</v>
      </c>
      <c r="J33" s="134">
        <v>27.85</v>
      </c>
      <c r="K33" s="134">
        <f>E33-I33</f>
        <v>-1216.0300000000007</v>
      </c>
      <c r="L33" s="172">
        <f>F33-J33</f>
        <v>-10.540000000000003</v>
      </c>
      <c r="M33" s="528"/>
      <c r="N33" s="476"/>
      <c r="O33" s="26"/>
      <c r="P33" s="26"/>
      <c r="Q33" s="26"/>
      <c r="Y33" s="26"/>
      <c r="Z33" s="26"/>
      <c r="AA33" s="26"/>
      <c r="AB33" s="26"/>
      <c r="AC33" s="26"/>
      <c r="AD33" s="26"/>
    </row>
    <row r="34" spans="1:30" ht="14.25" customHeight="1">
      <c r="A34" s="173"/>
      <c r="B34" s="160"/>
      <c r="C34" s="160" t="s">
        <v>194</v>
      </c>
      <c r="D34" s="161">
        <v>1</v>
      </c>
      <c r="E34" s="162"/>
      <c r="F34" s="162"/>
      <c r="G34" s="174">
        <f>E34/D34</f>
        <v>0</v>
      </c>
      <c r="H34" s="174">
        <f>F34/D34</f>
        <v>0</v>
      </c>
      <c r="I34" s="162"/>
      <c r="J34" s="162"/>
      <c r="K34" s="229">
        <f>E34-I34</f>
        <v>0</v>
      </c>
      <c r="L34" s="230">
        <f>F34-J34</f>
        <v>0</v>
      </c>
      <c r="M34" s="528"/>
      <c r="N34" s="476"/>
      <c r="O34" s="26"/>
      <c r="P34" s="26"/>
      <c r="Q34" s="26"/>
      <c r="Y34" s="26"/>
      <c r="Z34" s="26"/>
      <c r="AA34" s="26"/>
      <c r="AB34" s="26"/>
      <c r="AC34" s="26"/>
      <c r="AD34" s="26"/>
    </row>
    <row r="35" spans="1:30" ht="14.25" customHeight="1">
      <c r="A35" s="170"/>
      <c r="B35" s="130"/>
      <c r="C35" s="130"/>
      <c r="D35" s="182"/>
      <c r="E35" s="132"/>
      <c r="F35" s="132"/>
      <c r="G35" s="132"/>
      <c r="H35" s="132"/>
      <c r="I35" s="132"/>
      <c r="J35" s="132"/>
      <c r="K35" s="132"/>
      <c r="L35" s="172"/>
      <c r="M35" s="183">
        <f>SUM(M14+K17+K23+K29)</f>
        <v>949.46999999999935</v>
      </c>
      <c r="N35" s="184">
        <f>SUM(N14+L17+L23+L29)</f>
        <v>0.25999999999999801</v>
      </c>
      <c r="O35" s="26"/>
      <c r="P35" s="26"/>
      <c r="Q35" s="26"/>
    </row>
    <row r="36" spans="1:30" ht="14.25" customHeight="1">
      <c r="A36" s="505" t="s">
        <v>195</v>
      </c>
      <c r="B36" s="507" t="s">
        <v>161</v>
      </c>
      <c r="C36" s="507">
        <v>2024</v>
      </c>
      <c r="D36" s="509">
        <f>SUM(D17+D23+D29)</f>
        <v>291</v>
      </c>
      <c r="E36" s="519">
        <f>SUM(E17+E23+E29)</f>
        <v>76730.41</v>
      </c>
      <c r="F36" s="519">
        <f>SUM(F17+F23+F29)</f>
        <v>28.36</v>
      </c>
      <c r="G36" s="519">
        <f>AVERAGE(G17,G23,G29)</f>
        <v>250.21542439096382</v>
      </c>
      <c r="H36" s="519">
        <f>SUM(H17+H23+H29)</f>
        <v>1.3683971291866028</v>
      </c>
      <c r="I36" s="519">
        <f>SUM(I17+I23+I29)</f>
        <v>75885.94</v>
      </c>
      <c r="J36" s="519">
        <f>SUM(J17+J23+J29)</f>
        <v>28.1</v>
      </c>
      <c r="K36" s="519">
        <f>SUM(K17+K23+K29)</f>
        <v>844.46999999999935</v>
      </c>
      <c r="L36" s="522">
        <f>SUM(L17+L23+L29)</f>
        <v>0.25999999999999801</v>
      </c>
      <c r="M36" s="536">
        <v>0</v>
      </c>
      <c r="N36" s="536">
        <v>0</v>
      </c>
      <c r="O36" s="26"/>
      <c r="P36" s="26"/>
      <c r="Q36" s="26"/>
    </row>
    <row r="37" spans="1:30" ht="14.25" customHeight="1">
      <c r="A37" s="506"/>
      <c r="B37" s="508"/>
      <c r="C37" s="508"/>
      <c r="D37" s="510"/>
      <c r="E37" s="520"/>
      <c r="F37" s="520"/>
      <c r="G37" s="520"/>
      <c r="H37" s="520"/>
      <c r="I37" s="520"/>
      <c r="J37" s="520"/>
      <c r="K37" s="520"/>
      <c r="L37" s="523"/>
      <c r="M37" s="537"/>
      <c r="N37" s="537"/>
      <c r="O37" s="26"/>
      <c r="P37" s="26"/>
      <c r="Q37" s="26"/>
    </row>
    <row r="38" spans="1:30" ht="14.25" customHeight="1">
      <c r="A38" s="533"/>
      <c r="B38" s="534"/>
      <c r="C38" s="534"/>
      <c r="D38" s="535"/>
      <c r="E38" s="521"/>
      <c r="F38" s="521"/>
      <c r="G38" s="521"/>
      <c r="H38" s="521"/>
      <c r="I38" s="521"/>
      <c r="J38" s="521"/>
      <c r="K38" s="521"/>
      <c r="L38" s="524"/>
      <c r="M38" s="538"/>
      <c r="N38" s="538"/>
    </row>
    <row r="39" spans="1:30" ht="14.25" customHeight="1">
      <c r="A39" s="515" t="s">
        <v>196</v>
      </c>
      <c r="B39" s="497"/>
      <c r="C39" s="497"/>
      <c r="D39" s="503">
        <f>SUM(D41:D44)</f>
        <v>4</v>
      </c>
      <c r="E39" s="497">
        <f t="shared" ref="E39:L39" si="3">SUM(E41:E44)</f>
        <v>0</v>
      </c>
      <c r="F39" s="497">
        <f t="shared" si="3"/>
        <v>0</v>
      </c>
      <c r="G39" s="499">
        <f>AVERAGE(G41:G44)</f>
        <v>0</v>
      </c>
      <c r="H39" s="499">
        <f>AVERAGE(H41:H44)</f>
        <v>0</v>
      </c>
      <c r="I39" s="497">
        <f t="shared" si="3"/>
        <v>0</v>
      </c>
      <c r="J39" s="497">
        <f t="shared" si="3"/>
        <v>0</v>
      </c>
      <c r="K39" s="497">
        <f t="shared" si="3"/>
        <v>0</v>
      </c>
      <c r="L39" s="517">
        <f t="shared" si="3"/>
        <v>0</v>
      </c>
      <c r="M39" s="527">
        <f>M36+K39</f>
        <v>0</v>
      </c>
      <c r="N39" s="475">
        <f>N36+L39</f>
        <v>0</v>
      </c>
    </row>
    <row r="40" spans="1:30" ht="14.25" customHeight="1">
      <c r="A40" s="516"/>
      <c r="B40" s="498"/>
      <c r="C40" s="498"/>
      <c r="D40" s="504"/>
      <c r="E40" s="498"/>
      <c r="F40" s="498"/>
      <c r="G40" s="498"/>
      <c r="H40" s="498"/>
      <c r="I40" s="498"/>
      <c r="J40" s="498"/>
      <c r="K40" s="498"/>
      <c r="L40" s="518"/>
      <c r="M40" s="528"/>
      <c r="N40" s="476"/>
    </row>
    <row r="41" spans="1:30" ht="14.25" customHeight="1">
      <c r="A41" s="163"/>
      <c r="B41" s="138"/>
      <c r="C41" s="139" t="s">
        <v>197</v>
      </c>
      <c r="D41" s="140">
        <v>1</v>
      </c>
      <c r="E41" s="141"/>
      <c r="F41" s="141"/>
      <c r="G41" s="141">
        <f>E41/D41</f>
        <v>0</v>
      </c>
      <c r="H41" s="141">
        <f>F41/D41</f>
        <v>0</v>
      </c>
      <c r="I41" s="141"/>
      <c r="J41" s="141"/>
      <c r="K41" s="141">
        <f t="shared" ref="K41:L44" si="4">E41-I41</f>
        <v>0</v>
      </c>
      <c r="L41" s="176">
        <f t="shared" si="4"/>
        <v>0</v>
      </c>
      <c r="M41" s="528"/>
      <c r="N41" s="476"/>
    </row>
    <row r="42" spans="1:30" ht="14.25" customHeight="1">
      <c r="A42" s="163"/>
      <c r="B42" s="138"/>
      <c r="C42" s="139" t="s">
        <v>198</v>
      </c>
      <c r="D42" s="140">
        <v>1</v>
      </c>
      <c r="E42" s="141"/>
      <c r="F42" s="141"/>
      <c r="G42" s="141">
        <f>E42/D42</f>
        <v>0</v>
      </c>
      <c r="H42" s="141">
        <f>F42/D42</f>
        <v>0</v>
      </c>
      <c r="I42" s="141"/>
      <c r="J42" s="141"/>
      <c r="K42" s="141">
        <f t="shared" si="4"/>
        <v>0</v>
      </c>
      <c r="L42" s="176">
        <f t="shared" si="4"/>
        <v>0</v>
      </c>
      <c r="M42" s="528"/>
      <c r="N42" s="476"/>
    </row>
    <row r="43" spans="1:30" ht="14.25" customHeight="1">
      <c r="A43" s="163"/>
      <c r="B43" s="138"/>
      <c r="C43" s="142" t="s">
        <v>199</v>
      </c>
      <c r="D43" s="143">
        <v>1</v>
      </c>
      <c r="E43" s="141"/>
      <c r="F43" s="141"/>
      <c r="G43" s="141">
        <f>E43/D43</f>
        <v>0</v>
      </c>
      <c r="H43" s="141">
        <f>F43/D43</f>
        <v>0</v>
      </c>
      <c r="I43" s="141"/>
      <c r="J43" s="141"/>
      <c r="K43" s="141">
        <f t="shared" si="4"/>
        <v>0</v>
      </c>
      <c r="L43" s="176">
        <f t="shared" si="4"/>
        <v>0</v>
      </c>
      <c r="M43" s="528"/>
      <c r="N43" s="476"/>
    </row>
    <row r="44" spans="1:30" ht="14.25" customHeight="1">
      <c r="A44" s="164"/>
      <c r="B44" s="165"/>
      <c r="C44" s="166" t="s">
        <v>200</v>
      </c>
      <c r="D44" s="167">
        <v>1</v>
      </c>
      <c r="E44" s="168"/>
      <c r="F44" s="168"/>
      <c r="G44" s="168">
        <f>E44/D44</f>
        <v>0</v>
      </c>
      <c r="H44" s="141">
        <f>F44/D44</f>
        <v>0</v>
      </c>
      <c r="I44" s="168"/>
      <c r="J44" s="168"/>
      <c r="K44" s="168">
        <f t="shared" si="4"/>
        <v>0</v>
      </c>
      <c r="L44" s="177">
        <f t="shared" si="4"/>
        <v>0</v>
      </c>
      <c r="M44" s="528"/>
      <c r="N44" s="476"/>
    </row>
    <row r="45" spans="1:30" ht="14.25" customHeight="1">
      <c r="A45" s="495" t="s">
        <v>201</v>
      </c>
      <c r="B45" s="486"/>
      <c r="C45" s="486"/>
      <c r="D45" s="473">
        <f>SUM(D47:D50)</f>
        <v>4</v>
      </c>
      <c r="E45" s="486">
        <f t="shared" ref="E45:L45" si="5">SUM(E47:E50)</f>
        <v>0</v>
      </c>
      <c r="F45" s="486">
        <f t="shared" si="5"/>
        <v>0</v>
      </c>
      <c r="G45" s="484">
        <f>AVERAGE(G47:G50)</f>
        <v>0</v>
      </c>
      <c r="H45" s="484">
        <f>AVERAGE(H47:H50)</f>
        <v>0</v>
      </c>
      <c r="I45" s="486">
        <f t="shared" si="5"/>
        <v>0</v>
      </c>
      <c r="J45" s="486">
        <f t="shared" si="5"/>
        <v>0</v>
      </c>
      <c r="K45" s="486">
        <f t="shared" si="5"/>
        <v>0</v>
      </c>
      <c r="L45" s="511">
        <f t="shared" si="5"/>
        <v>0</v>
      </c>
      <c r="M45" s="527">
        <f>M39+K45</f>
        <v>0</v>
      </c>
      <c r="N45" s="475">
        <f>N39+L45</f>
        <v>0</v>
      </c>
    </row>
    <row r="46" spans="1:30" ht="14.25" customHeight="1">
      <c r="A46" s="496"/>
      <c r="B46" s="485"/>
      <c r="C46" s="485"/>
      <c r="D46" s="474"/>
      <c r="E46" s="485"/>
      <c r="F46" s="485"/>
      <c r="G46" s="485"/>
      <c r="H46" s="485"/>
      <c r="I46" s="485"/>
      <c r="J46" s="485"/>
      <c r="K46" s="485"/>
      <c r="L46" s="512"/>
      <c r="M46" s="528"/>
      <c r="N46" s="476"/>
    </row>
    <row r="47" spans="1:30" ht="14.25" customHeight="1">
      <c r="A47" s="150"/>
      <c r="B47" s="144"/>
      <c r="C47" s="125" t="s">
        <v>202</v>
      </c>
      <c r="D47" s="126">
        <v>1</v>
      </c>
      <c r="E47" s="127"/>
      <c r="F47" s="127"/>
      <c r="G47" s="145">
        <f>E47/D47</f>
        <v>0</v>
      </c>
      <c r="H47" s="145">
        <f>F47/D47</f>
        <v>0</v>
      </c>
      <c r="I47" s="128"/>
      <c r="J47" s="128"/>
      <c r="K47" s="128">
        <f t="shared" ref="K47:L50" si="6">E47-I47</f>
        <v>0</v>
      </c>
      <c r="L47" s="178">
        <f t="shared" si="6"/>
        <v>0</v>
      </c>
      <c r="M47" s="528"/>
      <c r="N47" s="476"/>
    </row>
    <row r="48" spans="1:30" ht="14.25" customHeight="1">
      <c r="A48" s="150"/>
      <c r="B48" s="124"/>
      <c r="C48" s="125" t="s">
        <v>203</v>
      </c>
      <c r="D48" s="126">
        <v>1</v>
      </c>
      <c r="E48" s="127"/>
      <c r="F48" s="127"/>
      <c r="G48" s="145">
        <f>E48/D48</f>
        <v>0</v>
      </c>
      <c r="H48" s="145">
        <f>F48/D48</f>
        <v>0</v>
      </c>
      <c r="I48" s="128"/>
      <c r="J48" s="128"/>
      <c r="K48" s="128">
        <f t="shared" si="6"/>
        <v>0</v>
      </c>
      <c r="L48" s="178">
        <f t="shared" si="6"/>
        <v>0</v>
      </c>
      <c r="M48" s="528"/>
      <c r="N48" s="476"/>
    </row>
    <row r="49" spans="1:14" ht="14.25" customHeight="1">
      <c r="A49" s="150"/>
      <c r="B49" s="124"/>
      <c r="C49" s="125" t="s">
        <v>204</v>
      </c>
      <c r="D49" s="126">
        <v>1</v>
      </c>
      <c r="E49" s="146"/>
      <c r="F49" s="146"/>
      <c r="G49" s="145">
        <f>E49/D49</f>
        <v>0</v>
      </c>
      <c r="H49" s="145">
        <f>F49/D49</f>
        <v>0</v>
      </c>
      <c r="I49" s="128"/>
      <c r="J49" s="128"/>
      <c r="K49" s="128">
        <f t="shared" si="6"/>
        <v>0</v>
      </c>
      <c r="L49" s="178">
        <f t="shared" si="6"/>
        <v>0</v>
      </c>
      <c r="M49" s="528"/>
      <c r="N49" s="476"/>
    </row>
    <row r="50" spans="1:14" ht="14.25" customHeight="1">
      <c r="A50" s="151"/>
      <c r="B50" s="152"/>
      <c r="C50" s="153" t="s">
        <v>205</v>
      </c>
      <c r="D50" s="154">
        <v>1</v>
      </c>
      <c r="E50" s="155"/>
      <c r="F50" s="155"/>
      <c r="G50" s="169">
        <f>E50/D50</f>
        <v>0</v>
      </c>
      <c r="H50" s="145">
        <f>F50/D50</f>
        <v>0</v>
      </c>
      <c r="I50" s="156"/>
      <c r="J50" s="156"/>
      <c r="K50" s="156">
        <f t="shared" si="6"/>
        <v>0</v>
      </c>
      <c r="L50" s="179">
        <f t="shared" si="6"/>
        <v>0</v>
      </c>
      <c r="M50" s="528"/>
      <c r="N50" s="476"/>
    </row>
    <row r="51" spans="1:14" ht="14.25" customHeight="1">
      <c r="A51" s="491" t="s">
        <v>206</v>
      </c>
      <c r="B51" s="492"/>
      <c r="C51" s="492"/>
      <c r="D51" s="501">
        <f>SUM(D53:D56)</f>
        <v>4</v>
      </c>
      <c r="E51" s="490">
        <f t="shared" ref="E51:L51" si="7">SUM(E53:E56)</f>
        <v>0</v>
      </c>
      <c r="F51" s="490">
        <f t="shared" si="7"/>
        <v>0</v>
      </c>
      <c r="G51" s="477">
        <f>AVERAGE(G53:G56)</f>
        <v>0</v>
      </c>
      <c r="H51" s="477">
        <f>AVERAGE(H53:H56)</f>
        <v>0</v>
      </c>
      <c r="I51" s="490">
        <f t="shared" si="7"/>
        <v>0</v>
      </c>
      <c r="J51" s="490">
        <f t="shared" si="7"/>
        <v>0</v>
      </c>
      <c r="K51" s="490">
        <f>SUM(K53:K56)</f>
        <v>0</v>
      </c>
      <c r="L51" s="525">
        <f t="shared" si="7"/>
        <v>0</v>
      </c>
      <c r="M51" s="527">
        <f>M45+K51</f>
        <v>0</v>
      </c>
      <c r="N51" s="475">
        <f>N45+L51</f>
        <v>0</v>
      </c>
    </row>
    <row r="52" spans="1:14" ht="14.25" customHeight="1">
      <c r="A52" s="493"/>
      <c r="B52" s="494"/>
      <c r="C52" s="494"/>
      <c r="D52" s="502"/>
      <c r="E52" s="478"/>
      <c r="F52" s="478"/>
      <c r="G52" s="478"/>
      <c r="H52" s="478"/>
      <c r="I52" s="478"/>
      <c r="J52" s="478"/>
      <c r="K52" s="478"/>
      <c r="L52" s="526"/>
      <c r="M52" s="528"/>
      <c r="N52" s="476"/>
    </row>
    <row r="53" spans="1:14" ht="14.25" customHeight="1">
      <c r="A53" s="170"/>
      <c r="B53" s="147"/>
      <c r="C53" s="130" t="s">
        <v>207</v>
      </c>
      <c r="D53" s="131">
        <v>1</v>
      </c>
      <c r="E53" s="131"/>
      <c r="F53" s="131"/>
      <c r="G53" s="133">
        <f>E53/D53</f>
        <v>0</v>
      </c>
      <c r="H53" s="133">
        <f>F53/D53</f>
        <v>0</v>
      </c>
      <c r="I53" s="134"/>
      <c r="J53" s="134"/>
      <c r="K53" s="134">
        <f t="shared" ref="K53:L56" si="8">E53-I53</f>
        <v>0</v>
      </c>
      <c r="L53" s="172">
        <f t="shared" si="8"/>
        <v>0</v>
      </c>
      <c r="M53" s="528"/>
      <c r="N53" s="476"/>
    </row>
    <row r="54" spans="1:14" ht="14.25" customHeight="1">
      <c r="A54" s="170"/>
      <c r="B54" s="136"/>
      <c r="C54" s="136" t="s">
        <v>208</v>
      </c>
      <c r="D54" s="131">
        <v>1</v>
      </c>
      <c r="E54" s="131"/>
      <c r="F54" s="131"/>
      <c r="G54" s="133">
        <f>E54/D54</f>
        <v>0</v>
      </c>
      <c r="H54" s="133">
        <f>F54/D54</f>
        <v>0</v>
      </c>
      <c r="I54" s="134"/>
      <c r="J54" s="134"/>
      <c r="K54" s="134">
        <f t="shared" si="8"/>
        <v>0</v>
      </c>
      <c r="L54" s="172">
        <f t="shared" si="8"/>
        <v>0</v>
      </c>
      <c r="M54" s="528"/>
      <c r="N54" s="476"/>
    </row>
    <row r="55" spans="1:14" ht="14.25" customHeight="1">
      <c r="A55" s="170"/>
      <c r="B55" s="149"/>
      <c r="C55" s="136" t="s">
        <v>209</v>
      </c>
      <c r="D55" s="131">
        <v>1</v>
      </c>
      <c r="E55" s="131"/>
      <c r="F55" s="131"/>
      <c r="G55" s="133">
        <f>E55/D55</f>
        <v>0</v>
      </c>
      <c r="H55" s="133">
        <f>F55/D55</f>
        <v>0</v>
      </c>
      <c r="I55" s="134"/>
      <c r="J55" s="134"/>
      <c r="K55" s="134">
        <f t="shared" si="8"/>
        <v>0</v>
      </c>
      <c r="L55" s="172">
        <f t="shared" si="8"/>
        <v>0</v>
      </c>
      <c r="M55" s="528"/>
      <c r="N55" s="476"/>
    </row>
    <row r="56" spans="1:14" ht="14.25" customHeight="1">
      <c r="A56" s="173"/>
      <c r="B56" s="160"/>
      <c r="C56" s="160" t="s">
        <v>210</v>
      </c>
      <c r="D56" s="161">
        <v>1</v>
      </c>
      <c r="E56" s="161"/>
      <c r="F56" s="161"/>
      <c r="G56" s="174">
        <f>E56/D56</f>
        <v>0</v>
      </c>
      <c r="H56" s="174">
        <f>F56/D56</f>
        <v>0</v>
      </c>
      <c r="I56" s="162"/>
      <c r="J56" s="162"/>
      <c r="K56" s="162">
        <f t="shared" si="8"/>
        <v>0</v>
      </c>
      <c r="L56" s="175">
        <f t="shared" si="8"/>
        <v>0</v>
      </c>
      <c r="M56" s="528"/>
      <c r="N56" s="476"/>
    </row>
    <row r="57" spans="1:14" ht="14.25" customHeight="1">
      <c r="A57" s="170"/>
      <c r="B57" s="130"/>
      <c r="C57" s="130"/>
      <c r="D57" s="182"/>
      <c r="E57" s="132"/>
      <c r="F57" s="132"/>
      <c r="G57" s="132"/>
      <c r="H57" s="132"/>
      <c r="I57" s="132"/>
      <c r="J57" s="132"/>
      <c r="K57" s="132"/>
      <c r="L57" s="172"/>
      <c r="M57" s="183">
        <f>SUM(M36+K39+K45+K51)</f>
        <v>0</v>
      </c>
      <c r="N57" s="184">
        <f>SUM(N36+L39+L45+L51)</f>
        <v>0</v>
      </c>
    </row>
    <row r="58" spans="1:14" ht="14.25" customHeight="1">
      <c r="A58" s="505" t="s">
        <v>195</v>
      </c>
      <c r="B58" s="507" t="s">
        <v>161</v>
      </c>
      <c r="C58" s="507">
        <v>2024</v>
      </c>
      <c r="D58" s="509">
        <f>SUM(D39+D45+D51)</f>
        <v>12</v>
      </c>
      <c r="E58" s="519">
        <f>SUM(E39+E45+E51)</f>
        <v>0</v>
      </c>
      <c r="F58" s="519">
        <f>SUM(F39+F45+F51)</f>
        <v>0</v>
      </c>
      <c r="G58" s="519">
        <f>AVERAGE(G39,G45,G51)</f>
        <v>0</v>
      </c>
      <c r="H58" s="519">
        <f>SUM(H39+H45+H51)</f>
        <v>0</v>
      </c>
      <c r="I58" s="519">
        <f>SUM(I39+I45+I51)</f>
        <v>0</v>
      </c>
      <c r="J58" s="519">
        <f>SUM(J39+J45+J51)</f>
        <v>0</v>
      </c>
      <c r="K58" s="519">
        <f>SUM(K39+K45+K51)</f>
        <v>0</v>
      </c>
      <c r="L58" s="522">
        <f>SUM(L39+L45+L51)</f>
        <v>0</v>
      </c>
      <c r="M58" s="536">
        <v>0</v>
      </c>
      <c r="N58" s="522">
        <v>0</v>
      </c>
    </row>
    <row r="59" spans="1:14" ht="14.25" customHeight="1">
      <c r="A59" s="506"/>
      <c r="B59" s="508"/>
      <c r="C59" s="508"/>
      <c r="D59" s="510"/>
      <c r="E59" s="520"/>
      <c r="F59" s="520"/>
      <c r="G59" s="520"/>
      <c r="H59" s="520"/>
      <c r="I59" s="520"/>
      <c r="J59" s="520"/>
      <c r="K59" s="520"/>
      <c r="L59" s="523"/>
      <c r="M59" s="537"/>
      <c r="N59" s="523"/>
    </row>
    <row r="60" spans="1:14" ht="14.25" customHeight="1">
      <c r="A60" s="533"/>
      <c r="B60" s="534"/>
      <c r="C60" s="534"/>
      <c r="D60" s="535"/>
      <c r="E60" s="521"/>
      <c r="F60" s="521"/>
      <c r="G60" s="521"/>
      <c r="H60" s="521"/>
      <c r="I60" s="521"/>
      <c r="J60" s="521"/>
      <c r="K60" s="521"/>
      <c r="L60" s="524"/>
      <c r="M60" s="538"/>
      <c r="N60" s="524"/>
    </row>
    <row r="61" spans="1:14" ht="14.25" customHeight="1"/>
    <row r="62" spans="1:14" ht="14.25" customHeight="1"/>
    <row r="63" spans="1:14" ht="14.25" customHeight="1"/>
    <row r="64" spans="1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56">
    <mergeCell ref="M58:M60"/>
    <mergeCell ref="N58:N60"/>
    <mergeCell ref="M45:M50"/>
    <mergeCell ref="N45:N50"/>
    <mergeCell ref="M51:M56"/>
    <mergeCell ref="N51:N56"/>
    <mergeCell ref="M36:M38"/>
    <mergeCell ref="N36:N38"/>
    <mergeCell ref="M23:M28"/>
    <mergeCell ref="N23:N28"/>
    <mergeCell ref="M29:M34"/>
    <mergeCell ref="N29:N34"/>
    <mergeCell ref="M39:M44"/>
    <mergeCell ref="N39:N44"/>
    <mergeCell ref="M8:M13"/>
    <mergeCell ref="N8:N13"/>
    <mergeCell ref="M17:M22"/>
    <mergeCell ref="N17:N22"/>
    <mergeCell ref="M14:M16"/>
    <mergeCell ref="N14:N16"/>
    <mergeCell ref="A58:A60"/>
    <mergeCell ref="B58:B60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A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A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J8:J9"/>
    <mergeCell ref="K8:K9"/>
    <mergeCell ref="L8:L9"/>
    <mergeCell ref="A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E8:E9"/>
    <mergeCell ref="F8:F9"/>
    <mergeCell ref="G8:G9"/>
    <mergeCell ref="H8:H9"/>
    <mergeCell ref="I8:I9"/>
    <mergeCell ref="E23:E24"/>
    <mergeCell ref="F23:F24"/>
    <mergeCell ref="D29:D30"/>
    <mergeCell ref="A17:C18"/>
    <mergeCell ref="A2:C3"/>
    <mergeCell ref="D8:D9"/>
    <mergeCell ref="D2:D3"/>
    <mergeCell ref="E2:E3"/>
    <mergeCell ref="F2:F3"/>
    <mergeCell ref="G2:G3"/>
    <mergeCell ref="D17:D18"/>
    <mergeCell ref="E17:E18"/>
    <mergeCell ref="F17:F18"/>
    <mergeCell ref="A14:A16"/>
    <mergeCell ref="B14:B16"/>
    <mergeCell ref="C14:C16"/>
    <mergeCell ref="D14:D16"/>
    <mergeCell ref="A8:C9"/>
    <mergeCell ref="G17:G18"/>
    <mergeCell ref="F19:F22"/>
    <mergeCell ref="F25:F28"/>
    <mergeCell ref="H25:H28"/>
    <mergeCell ref="J25:J28"/>
    <mergeCell ref="E29:E30"/>
    <mergeCell ref="F29:F30"/>
    <mergeCell ref="K14:K16"/>
    <mergeCell ref="J19:J22"/>
    <mergeCell ref="A29:C30"/>
    <mergeCell ref="A23:C24"/>
    <mergeCell ref="D23:D24"/>
    <mergeCell ref="J23:J24"/>
    <mergeCell ref="K23:K24"/>
    <mergeCell ref="H17:H18"/>
    <mergeCell ref="I17:I18"/>
    <mergeCell ref="J17:J18"/>
    <mergeCell ref="K17:K18"/>
    <mergeCell ref="H19:H22"/>
    <mergeCell ref="L29:L30"/>
    <mergeCell ref="G29:G30"/>
    <mergeCell ref="H29:H30"/>
    <mergeCell ref="I29:I30"/>
    <mergeCell ref="J29:J30"/>
    <mergeCell ref="K29:K30"/>
    <mergeCell ref="L17:L18"/>
    <mergeCell ref="G23:G24"/>
    <mergeCell ref="H23:H24"/>
    <mergeCell ref="I23:I24"/>
    <mergeCell ref="L23:L24"/>
    <mergeCell ref="L25:L28"/>
    <mergeCell ref="L19:L22"/>
    <mergeCell ref="K1:L1"/>
    <mergeCell ref="L14:L16"/>
    <mergeCell ref="F4:F7"/>
    <mergeCell ref="H4:H7"/>
    <mergeCell ref="J4:J7"/>
    <mergeCell ref="F10:F13"/>
    <mergeCell ref="H10:H13"/>
    <mergeCell ref="J10:J13"/>
    <mergeCell ref="L10:L13"/>
    <mergeCell ref="L4:L7"/>
    <mergeCell ref="E1:F1"/>
    <mergeCell ref="H14:H16"/>
    <mergeCell ref="G1:H1"/>
    <mergeCell ref="J14:J16"/>
    <mergeCell ref="I1:J1"/>
    <mergeCell ref="L2:L3"/>
    <mergeCell ref="E14:E16"/>
    <mergeCell ref="G14:G16"/>
    <mergeCell ref="F14:F16"/>
    <mergeCell ref="I14:I16"/>
    <mergeCell ref="H2:H3"/>
    <mergeCell ref="I2:I3"/>
    <mergeCell ref="J2:J3"/>
    <mergeCell ref="K2:K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bunyah</dc:creator>
  <cp:keywords/>
  <dc:description/>
  <cp:lastModifiedBy>Benjamin Salazar Aranda</cp:lastModifiedBy>
  <cp:revision/>
  <dcterms:created xsi:type="dcterms:W3CDTF">2024-03-01T14:27:50Z</dcterms:created>
  <dcterms:modified xsi:type="dcterms:W3CDTF">2024-12-15T00:52:54Z</dcterms:modified>
  <cp:category/>
  <cp:contentStatus/>
</cp:coreProperties>
</file>